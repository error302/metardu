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Users\User\Desktop\SURVEYOR HILLARY\2025 WORKS\EXCEL\"/>
    </mc:Choice>
  </mc:AlternateContent>
  <xr:revisionPtr revIDLastSave="0" documentId="13_ncr:1_{BFA3A0C5-4FB3-4701-943B-DAB52C132CDE}" xr6:coauthVersionLast="47" xr6:coauthVersionMax="47" xr10:uidLastSave="{00000000-0000-0000-0000-000000000000}"/>
  <bookViews>
    <workbookView xWindow="-120" yWindow="-120" windowWidth="24240" windowHeight="13140" tabRatio="802" firstSheet="2" activeTab="5" xr2:uid="{EAAE6DA5-E7DD-47DB-AB4C-359B87D642A2}"/>
  </bookViews>
  <sheets>
    <sheet name="REPORT" sheetId="8" r:id="rId1"/>
    <sheet name="INDEX TO COMPUTATIONS" sheetId="9" r:id="rId2"/>
    <sheet name="FINAL COORDINATE LIST" sheetId="2" r:id="rId3"/>
    <sheet name="DATUM JOINS" sheetId="1" r:id="rId4"/>
    <sheet name="CONSISTENCY OF DATUM" sheetId="3" r:id="rId5"/>
    <sheet name="THEORETICALS" sheetId="4" r:id="rId6"/>
    <sheet name="RTK RESULT" sheetId="5" r:id="rId7"/>
    <sheet name="CONSISTENCY CHECKS" sheetId="6" r:id="rId8"/>
    <sheet name="AREAS" sheetId="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6" i="3" l="1"/>
  <c r="E86" i="3"/>
  <c r="D43" i="3"/>
  <c r="C43" i="3"/>
  <c r="D39" i="3"/>
  <c r="C39" i="3"/>
  <c r="D35" i="3"/>
  <c r="C35" i="3"/>
  <c r="D31" i="3"/>
  <c r="C31" i="3"/>
  <c r="D27" i="3"/>
  <c r="C27" i="3"/>
  <c r="C22" i="1"/>
  <c r="D22" i="1"/>
  <c r="D23" i="3"/>
  <c r="C23" i="3"/>
  <c r="D19" i="3"/>
  <c r="C19" i="3"/>
  <c r="D15" i="3"/>
  <c r="C15" i="3"/>
  <c r="D11" i="3"/>
  <c r="C11" i="3"/>
  <c r="D7" i="3"/>
  <c r="D42" i="1"/>
  <c r="C42" i="1"/>
  <c r="D38" i="1"/>
  <c r="C38" i="1"/>
  <c r="D34" i="1"/>
  <c r="C34" i="1"/>
  <c r="D30" i="1"/>
  <c r="C30" i="1"/>
  <c r="D26" i="1"/>
  <c r="C26" i="1"/>
  <c r="D18" i="1"/>
  <c r="C18" i="1"/>
  <c r="D14" i="1"/>
  <c r="C14" i="1"/>
  <c r="D10" i="1"/>
  <c r="C10" i="1"/>
  <c r="D6" i="1"/>
  <c r="C6" i="1"/>
  <c r="C7" i="3"/>
  <c r="F36" i="6"/>
  <c r="E36" i="6"/>
  <c r="F31" i="6"/>
  <c r="E31" i="6"/>
  <c r="F26" i="6"/>
  <c r="E26" i="6"/>
  <c r="F21" i="6"/>
  <c r="E21" i="6"/>
  <c r="F16" i="6"/>
  <c r="E16" i="6"/>
  <c r="F11" i="6"/>
  <c r="E11" i="6"/>
  <c r="F6" i="6"/>
  <c r="E6" i="6"/>
  <c r="F5" i="4" l="1"/>
  <c r="F8" i="4" s="1"/>
  <c r="F12" i="4" s="1"/>
  <c r="F16" i="4" s="1"/>
  <c r="F20" i="4" s="1"/>
  <c r="F24" i="4" s="1"/>
  <c r="F28" i="4" s="1"/>
  <c r="F29" i="4" s="1"/>
  <c r="E5" i="4"/>
  <c r="E8" i="4" s="1"/>
  <c r="E12" i="4" s="1"/>
  <c r="E16" i="4" s="1"/>
  <c r="E20" i="4" s="1"/>
  <c r="E24" i="4" s="1"/>
  <c r="E28" i="4" s="1"/>
  <c r="E29" i="4" s="1"/>
</calcChain>
</file>

<file path=xl/sharedStrings.xml><?xml version="1.0" encoding="utf-8"?>
<sst xmlns="http://schemas.openxmlformats.org/spreadsheetml/2006/main" count="341" uniqueCount="145">
  <si>
    <t>FINAL CO-ORDINATE LIST</t>
  </si>
  <si>
    <t xml:space="preserve">DATUMN JOINS </t>
  </si>
  <si>
    <t>CONSISTENCY OF PLAN DATUM POINTS</t>
  </si>
  <si>
    <t>CONSISTENCY CHECKS</t>
  </si>
  <si>
    <t>AREA OF PARCELS</t>
  </si>
  <si>
    <t>Areas were computed using measuregeom tool in autocad</t>
  </si>
  <si>
    <t>THEORETICAL COMPUTATITIONS</t>
  </si>
  <si>
    <t>Rd 21 - AB3</t>
  </si>
  <si>
    <t>DY</t>
  </si>
  <si>
    <t>DX</t>
  </si>
  <si>
    <t>POINT</t>
  </si>
  <si>
    <t>NORTHINGS</t>
  </si>
  <si>
    <t>EASTINGS</t>
  </si>
  <si>
    <t>Rd21</t>
  </si>
  <si>
    <t>F/R 583/58</t>
  </si>
  <si>
    <t>AB3</t>
  </si>
  <si>
    <t>AB3 - AB4a</t>
  </si>
  <si>
    <t>AB4a</t>
  </si>
  <si>
    <t>AB4a - AB4</t>
  </si>
  <si>
    <t>AB4</t>
  </si>
  <si>
    <t>AB4 - AB4b</t>
  </si>
  <si>
    <t>174°   04'      11"</t>
  </si>
  <si>
    <t>AB4b</t>
  </si>
  <si>
    <t>AB4b - AB1</t>
  </si>
  <si>
    <t>AB1</t>
  </si>
  <si>
    <t>AB1 - AB2</t>
  </si>
  <si>
    <t>84°   04'      11"</t>
  </si>
  <si>
    <t>AB2</t>
  </si>
  <si>
    <t>AB2 - AB3</t>
  </si>
  <si>
    <t>354°   04'      11"</t>
  </si>
  <si>
    <t>Sh/be</t>
  </si>
  <si>
    <t>LINE</t>
  </si>
  <si>
    <r>
      <rPr>
        <sz val="12"/>
        <color indexed="8"/>
        <rFont val="Calibri"/>
        <family val="2"/>
      </rPr>
      <t>∆</t>
    </r>
    <r>
      <rPr>
        <i/>
        <sz val="12"/>
        <color indexed="8"/>
        <rFont val="Calibri"/>
        <family val="2"/>
      </rPr>
      <t>N</t>
    </r>
  </si>
  <si>
    <t>∆E</t>
  </si>
  <si>
    <t>N</t>
  </si>
  <si>
    <t>E</t>
  </si>
  <si>
    <t>RD21-AB3</t>
  </si>
  <si>
    <t>RD21</t>
  </si>
  <si>
    <t>Should be</t>
  </si>
  <si>
    <r>
      <t>287</t>
    </r>
    <r>
      <rPr>
        <i/>
        <sz val="12"/>
        <color theme="1"/>
        <rFont val="Calibri"/>
        <family val="2"/>
      </rPr>
      <t>°   14'      04"</t>
    </r>
  </si>
  <si>
    <t>AB3-AB4a</t>
  </si>
  <si>
    <t>AB4-AB4b</t>
  </si>
  <si>
    <t>AB4a-AB4</t>
  </si>
  <si>
    <t xml:space="preserve">Should be </t>
  </si>
  <si>
    <t>AB4b-AB1</t>
  </si>
  <si>
    <t>AB1-AB2</t>
  </si>
  <si>
    <t>AB2-AB3</t>
  </si>
  <si>
    <t>DISTANCE</t>
  </si>
  <si>
    <t>BEARING</t>
  </si>
  <si>
    <t>RD 21-RDa1</t>
  </si>
  <si>
    <t>RDa1</t>
  </si>
  <si>
    <t>RD21-RDa1</t>
  </si>
  <si>
    <t>846.49m</t>
  </si>
  <si>
    <t>287°  14'  04"</t>
  </si>
  <si>
    <t>Adopt plan</t>
  </si>
  <si>
    <t>RDa1-RDa2</t>
  </si>
  <si>
    <t>RDa2</t>
  </si>
  <si>
    <t>381.71m</t>
  </si>
  <si>
    <t>176°  51'  40"</t>
  </si>
  <si>
    <t>RDa2-Ne1</t>
  </si>
  <si>
    <t>Ne1</t>
  </si>
  <si>
    <t>194.54m</t>
  </si>
  <si>
    <t>109°  46'  42"</t>
  </si>
  <si>
    <t>Ne1-Ne2</t>
  </si>
  <si>
    <t>Ne2</t>
  </si>
  <si>
    <t>159.96m</t>
  </si>
  <si>
    <t>140°  50'  26"</t>
  </si>
  <si>
    <t>Ne2-Ne3</t>
  </si>
  <si>
    <t>Ne3</t>
  </si>
  <si>
    <t>336.17m</t>
  </si>
  <si>
    <t>164° 37'  50"</t>
  </si>
  <si>
    <t>Ne3-Ne4</t>
  </si>
  <si>
    <t>Ne4</t>
  </si>
  <si>
    <t>419.60m</t>
  </si>
  <si>
    <t>151° 41'  24"</t>
  </si>
  <si>
    <t>Ne4-Ne5</t>
  </si>
  <si>
    <t>Ne5</t>
  </si>
  <si>
    <t>246.72m</t>
  </si>
  <si>
    <t>116° 54'  50"</t>
  </si>
  <si>
    <t>Ne5-CN4</t>
  </si>
  <si>
    <t>CN4</t>
  </si>
  <si>
    <t>820.80m</t>
  </si>
  <si>
    <t>34° 01'  51"</t>
  </si>
  <si>
    <t>CN4-CN4a</t>
  </si>
  <si>
    <t>CN4a</t>
  </si>
  <si>
    <t>300.41m</t>
  </si>
  <si>
    <t>04° 49'  42"</t>
  </si>
  <si>
    <t>CN4a-RD21</t>
  </si>
  <si>
    <t>512.57m</t>
  </si>
  <si>
    <t>@846.49m</t>
  </si>
  <si>
    <t>@381.71m</t>
  </si>
  <si>
    <t>@194.54m</t>
  </si>
  <si>
    <t>@159.96m</t>
  </si>
  <si>
    <t>@336.17m</t>
  </si>
  <si>
    <t>@419.60m</t>
  </si>
  <si>
    <t>@246.72m</t>
  </si>
  <si>
    <t>@820.80m</t>
  </si>
  <si>
    <t>@300.41m</t>
  </si>
  <si>
    <t>@512.57m</t>
  </si>
  <si>
    <t>INDEX TO COMPUTATIONS</t>
  </si>
  <si>
    <t>CONTENT</t>
  </si>
  <si>
    <t>PAGE NO</t>
  </si>
  <si>
    <t>SURVEYORS REPORT</t>
  </si>
  <si>
    <t>FINAL CO-ORDINATES LIST</t>
  </si>
  <si>
    <t>WORKING DIAGRAM</t>
  </si>
  <si>
    <t>THEORETICAL  COMPUTATIONS</t>
  </si>
  <si>
    <t>RTK RESULT</t>
  </si>
  <si>
    <t xml:space="preserve"> </t>
  </si>
  <si>
    <t>AREA COMPUTATIONS</t>
  </si>
  <si>
    <t>PARCEL</t>
  </si>
  <si>
    <t>AREA IN Ha</t>
  </si>
  <si>
    <t>A</t>
  </si>
  <si>
    <t>B</t>
  </si>
  <si>
    <t>STATION</t>
  </si>
  <si>
    <t>Y(NORTHINGS)</t>
  </si>
  <si>
    <r>
      <rPr>
        <b/>
        <u/>
        <sz val="8"/>
        <color indexed="8"/>
        <rFont val="Calibri"/>
        <family val="2"/>
      </rPr>
      <t>˗</t>
    </r>
    <r>
      <rPr>
        <b/>
        <i/>
        <u/>
        <sz val="8"/>
        <color indexed="8"/>
        <rFont val="Palatino Linotype"/>
        <family val="1"/>
      </rPr>
      <t>X(EASTINGS)</t>
    </r>
  </si>
  <si>
    <t>CLASS OF BEACON</t>
  </si>
  <si>
    <t>DESCRIPTION</t>
  </si>
  <si>
    <t>"</t>
  </si>
  <si>
    <t>I.P.C  OLD</t>
  </si>
  <si>
    <t>I.P.C.U NEW</t>
  </si>
  <si>
    <t>I.P.C  NEW</t>
  </si>
  <si>
    <t>I.P.C.U OLD</t>
  </si>
  <si>
    <t>A.I.C OLD</t>
  </si>
  <si>
    <t>FR NO. 583/58</t>
  </si>
  <si>
    <t>F/R Area = 93.81 Ha</t>
  </si>
  <si>
    <t>Total area = 93.81Ha</t>
  </si>
  <si>
    <t>Descripancies = 0.0 HA</t>
  </si>
  <si>
    <t>1.Approval to Subdivide</t>
  </si>
  <si>
    <t>Letter Reference number :</t>
  </si>
  <si>
    <t>Survey Plan F/R Nos 583/83</t>
  </si>
  <si>
    <t>Old stable beacons  CN5 and D8 appearing on the F/R were searched and found in good condition and were used for the survey.</t>
  </si>
  <si>
    <t>2.Datum for survey</t>
  </si>
  <si>
    <t xml:space="preserve">3.Method </t>
  </si>
  <si>
    <t>To accomplish the subdividion survey, a theoretical layout comprising a working diagram based on the approived subdivision scheme plan and F/R No 583/83 was prepared and computation for all the new beacons , new plot boundary dimensions and areas were conducted using AutoCAD .Coordinates for all the new beacons describing the subdivision survey were then imported to Comnav GNSS data logger ready for staking out.</t>
  </si>
  <si>
    <t>Two old beacons CN5 and D8 appearing on the F/R ,found in stable condition were used to site calibrate the GNSS survey grade receivers. Using the Real Time Kinetic machine, one receiver was adopted as the base station and another as a river station and used to confirm positions of the existing boundary beacons and stake out all the new boundary beacons and stake out all the new boundary beacons marking the subdivision on the ground . All the new plot boundary beacons were staked out and picked for coordinate value checks.</t>
  </si>
  <si>
    <t>The new boundary beacons were then monumented as Iron Pins in Concrete (IPC) for all plot corner beacons and Iron Pin in Concrete Underground (IPCUs) for road truncations corner beacons as per Cap 299 regulations and the survey manual specifications .</t>
  </si>
  <si>
    <t>Upon completion of the field work, the RTK Result was downloaded into a workstation and used to prepare the survey plan. The plan was used to compute consistency checks and plot areas , which were found to be within acceptable accuracy limits .</t>
  </si>
  <si>
    <t>4.Conclusion</t>
  </si>
  <si>
    <t xml:space="preserve">This survey was carried out using GNSS RTK technique and guided by the survey regulations and conformed to the approved subdividsion scheme plan .Print outs of the RTK Result showing observations during stacking and checking of the beacons .The conventional computations on placing and checking beacons are not included in the survey file owing to the fact that this was an RTK  survey. Once the survey plan was produced in AutoCAD , consistency checks were done based on block. The consistency checks are included in the survey file. The sum of the total area was included and the area computation for the plot and cadastral plan duly drawn, completed and signed have been included in the survey file </t>
  </si>
  <si>
    <t>Signed …...........................................</t>
  </si>
  <si>
    <t>Boniface O.Wanyama (228)</t>
  </si>
  <si>
    <t>Lincenced Land Surveyor</t>
  </si>
  <si>
    <t>Date;                ,2025</t>
  </si>
  <si>
    <t>THEORETICALS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</si>
</sst>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27" x14ac:knownFonts="1">
    <font>
      <sz val="11"/>
      <color theme="1"/>
      <name val="Calibri"/>
      <family val="2"/>
      <scheme val="minor"/>
    </font>
    <font>
      <b/>
      <i/>
      <u/>
      <sz val="12"/>
      <color theme="1"/>
      <name val="Calibri"/>
      <family val="2"/>
      <scheme val="minor"/>
    </font>
    <font>
      <b/>
      <i/>
      <u/>
      <sz val="11"/>
      <color indexed="8"/>
      <name val="Palatino Linotype"/>
      <family val="1"/>
    </font>
    <font>
      <b/>
      <i/>
      <u/>
      <sz val="12"/>
      <color indexed="8"/>
      <name val="Calibri"/>
      <family val="2"/>
      <scheme val="minor"/>
    </font>
    <font>
      <i/>
      <sz val="11"/>
      <color theme="1"/>
      <name val="Calibri"/>
      <family val="2"/>
      <scheme val="minor"/>
    </font>
    <font>
      <b/>
      <i/>
      <sz val="12"/>
      <color theme="1"/>
      <name val="Calibri"/>
      <family val="2"/>
      <scheme val="minor"/>
    </font>
    <font>
      <i/>
      <sz val="12"/>
      <color theme="1"/>
      <name val="Calibri"/>
      <family val="2"/>
      <scheme val="minor"/>
    </font>
    <font>
      <i/>
      <sz val="12"/>
      <color theme="1"/>
      <name val="Calibri"/>
      <family val="2"/>
    </font>
    <font>
      <sz val="12"/>
      <color indexed="8"/>
      <name val="Calibri"/>
      <family val="2"/>
    </font>
    <font>
      <i/>
      <sz val="12"/>
      <color indexed="8"/>
      <name val="Calibri"/>
      <family val="2"/>
    </font>
    <font>
      <sz val="12"/>
      <color theme="1"/>
      <name val="Calibri"/>
      <family val="2"/>
    </font>
    <font>
      <sz val="12"/>
      <color theme="1"/>
      <name val="Calibri"/>
      <family val="2"/>
      <scheme val="minor"/>
    </font>
    <font>
      <i/>
      <u/>
      <sz val="12"/>
      <color theme="1"/>
      <name val="Calibri"/>
      <family val="2"/>
      <scheme val="minor"/>
    </font>
    <font>
      <b/>
      <i/>
      <u/>
      <sz val="14"/>
      <color theme="1"/>
      <name val="Calibri"/>
      <family val="2"/>
      <scheme val="minor"/>
    </font>
    <font>
      <b/>
      <i/>
      <u/>
      <sz val="12"/>
      <color indexed="8"/>
      <name val="Palatino Linotype"/>
      <family val="1"/>
    </font>
    <font>
      <sz val="11"/>
      <color indexed="8"/>
      <name val="Calibri"/>
      <family val="2"/>
    </font>
    <font>
      <i/>
      <sz val="12"/>
      <color theme="1"/>
      <name val="Palatino Linotype"/>
      <family val="1"/>
    </font>
    <font>
      <b/>
      <sz val="12"/>
      <color theme="1"/>
      <name val="Calibri"/>
      <family val="2"/>
      <scheme val="minor"/>
    </font>
    <font>
      <b/>
      <sz val="12"/>
      <color indexed="8"/>
      <name val="Calibri"/>
      <family val="2"/>
      <scheme val="minor"/>
    </font>
    <font>
      <sz val="11"/>
      <color theme="1"/>
      <name val="Palatino Linotype"/>
      <family val="1"/>
    </font>
    <font>
      <i/>
      <sz val="11"/>
      <color indexed="8"/>
      <name val="Palatino Linotype"/>
      <family val="1"/>
    </font>
    <font>
      <b/>
      <i/>
      <u/>
      <sz val="8"/>
      <color indexed="8"/>
      <name val="Palatino Linotype"/>
      <family val="1"/>
    </font>
    <font>
      <b/>
      <u/>
      <sz val="8"/>
      <color indexed="8"/>
      <name val="Calibri"/>
      <family val="2"/>
    </font>
    <font>
      <i/>
      <sz val="11"/>
      <color theme="1"/>
      <name val="Palatino Linotype"/>
      <family val="1"/>
    </font>
    <font>
      <b/>
      <i/>
      <sz val="11"/>
      <color indexed="8"/>
      <name val="Palatino Linotype"/>
      <family val="1"/>
    </font>
    <font>
      <b/>
      <sz val="11"/>
      <color indexed="8"/>
      <name val="Palatino Linotype"/>
      <family val="1"/>
    </font>
    <font>
      <sz val="8"/>
      <name val="Calibri"/>
      <family val="2"/>
      <scheme val="minor"/>
    </font>
  </fonts>
  <fills count="2">
    <fill>
      <patternFill patternType="none"/>
    </fill>
    <fill>
      <patternFill patternType="gray125"/>
    </fill>
  </fills>
  <borders count="3">
    <border>
      <left/>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s>
  <cellStyleXfs count="2">
    <xf numFmtId="0" fontId="0" fillId="0" borderId="0"/>
    <xf numFmtId="0" fontId="15" fillId="0" borderId="0"/>
  </cellStyleXfs>
  <cellXfs count="58">
    <xf numFmtId="0" fontId="0" fillId="0" borderId="0" xfId="0"/>
    <xf numFmtId="0" fontId="1" fillId="0" borderId="0" xfId="0" applyFont="1" applyAlignment="1">
      <alignment horizontal="center"/>
    </xf>
    <xf numFmtId="0" fontId="2" fillId="0" borderId="0" xfId="0" applyFont="1" applyAlignment="1">
      <alignment horizontal="center"/>
    </xf>
    <xf numFmtId="0" fontId="1" fillId="0" borderId="0" xfId="0" applyFont="1" applyAlignment="1">
      <alignment horizontal="left"/>
    </xf>
    <xf numFmtId="0" fontId="1" fillId="0" borderId="0" xfId="0" applyFont="1"/>
    <xf numFmtId="0" fontId="3" fillId="0" borderId="0" xfId="0" applyFont="1" applyAlignment="1">
      <alignment horizontal="center"/>
    </xf>
    <xf numFmtId="0" fontId="0" fillId="0" borderId="0" xfId="0" applyAlignment="1">
      <alignment horizontal="center"/>
    </xf>
    <xf numFmtId="0" fontId="5" fillId="0" borderId="0" xfId="0" applyFont="1" applyAlignment="1">
      <alignment horizontal="center"/>
    </xf>
    <xf numFmtId="0" fontId="4" fillId="0" borderId="0" xfId="0" applyFont="1"/>
    <xf numFmtId="0" fontId="6" fillId="0" borderId="0" xfId="0" applyFont="1" applyAlignment="1">
      <alignment horizontal="center"/>
    </xf>
    <xf numFmtId="0" fontId="7" fillId="0" borderId="0" xfId="0" applyFont="1"/>
    <xf numFmtId="0" fontId="10" fillId="0" borderId="0" xfId="0" applyFont="1"/>
    <xf numFmtId="0" fontId="11" fillId="0" borderId="0" xfId="0" applyFont="1"/>
    <xf numFmtId="0" fontId="6" fillId="0" borderId="0" xfId="0" applyFont="1"/>
    <xf numFmtId="2" fontId="6" fillId="0" borderId="0" xfId="0" applyNumberFormat="1" applyFont="1"/>
    <xf numFmtId="2" fontId="6" fillId="0" borderId="0" xfId="0" applyNumberFormat="1" applyFont="1" applyAlignment="1">
      <alignment horizontal="center"/>
    </xf>
    <xf numFmtId="0" fontId="7" fillId="0" borderId="0" xfId="0" applyFont="1" applyAlignment="1">
      <alignment horizontal="center"/>
    </xf>
    <xf numFmtId="0" fontId="5" fillId="0" borderId="0" xfId="0" applyFont="1"/>
    <xf numFmtId="2" fontId="5" fillId="0" borderId="0" xfId="0" applyNumberFormat="1" applyFont="1"/>
    <xf numFmtId="2" fontId="5" fillId="0" borderId="0" xfId="0" applyNumberFormat="1" applyFont="1" applyAlignment="1">
      <alignment horizontal="center"/>
    </xf>
    <xf numFmtId="0" fontId="12" fillId="0" borderId="0" xfId="0" applyFont="1"/>
    <xf numFmtId="0" fontId="6" fillId="0" borderId="0" xfId="0" applyFont="1" applyAlignment="1">
      <alignment horizontal="right"/>
    </xf>
    <xf numFmtId="0" fontId="5" fillId="0" borderId="0" xfId="0" applyFont="1" applyAlignment="1">
      <alignment horizontal="right"/>
    </xf>
    <xf numFmtId="0" fontId="9" fillId="0" borderId="0" xfId="0" applyFont="1"/>
    <xf numFmtId="0" fontId="6" fillId="0" borderId="0" xfId="0" quotePrefix="1" applyFont="1"/>
    <xf numFmtId="0" fontId="5" fillId="0" borderId="0" xfId="0" applyFont="1" applyAlignment="1">
      <alignment horizontal="left"/>
    </xf>
    <xf numFmtId="49" fontId="6" fillId="0" borderId="0" xfId="0" applyNumberFormat="1" applyFont="1" applyAlignment="1">
      <alignment horizontal="center"/>
    </xf>
    <xf numFmtId="0" fontId="11" fillId="0" borderId="0" xfId="0" applyFont="1" applyAlignment="1">
      <alignment horizontal="right"/>
    </xf>
    <xf numFmtId="0" fontId="3" fillId="0" borderId="0" xfId="0" applyFont="1"/>
    <xf numFmtId="0" fontId="14" fillId="0" borderId="1" xfId="0" applyFont="1" applyBorder="1" applyAlignment="1">
      <alignment horizontal="center"/>
    </xf>
    <xf numFmtId="0" fontId="15" fillId="0" borderId="0" xfId="1"/>
    <xf numFmtId="0" fontId="16" fillId="0" borderId="2" xfId="0" applyFont="1" applyBorder="1" applyAlignment="1">
      <alignment horizontal="center"/>
    </xf>
    <xf numFmtId="165" fontId="16" fillId="0" borderId="2" xfId="0" applyNumberFormat="1" applyFont="1" applyBorder="1" applyAlignment="1">
      <alignment horizontal="center"/>
    </xf>
    <xf numFmtId="2" fontId="16" fillId="0" borderId="2" xfId="0" applyNumberFormat="1" applyFont="1" applyBorder="1" applyAlignment="1">
      <alignment horizontal="center"/>
    </xf>
    <xf numFmtId="0" fontId="17" fillId="0" borderId="0" xfId="0" applyFont="1"/>
    <xf numFmtId="0" fontId="17" fillId="0" borderId="0" xfId="0" applyFont="1" applyAlignment="1">
      <alignment horizontal="left"/>
    </xf>
    <xf numFmtId="164" fontId="17" fillId="0" borderId="0" xfId="0" applyNumberFormat="1" applyFont="1"/>
    <xf numFmtId="0" fontId="18" fillId="0" borderId="0" xfId="0" applyFont="1"/>
    <xf numFmtId="0" fontId="17" fillId="0" borderId="0" xfId="0" quotePrefix="1" applyFont="1" applyAlignment="1">
      <alignment horizontal="right"/>
    </xf>
    <xf numFmtId="2" fontId="11" fillId="0" borderId="0" xfId="0" applyNumberFormat="1" applyFont="1"/>
    <xf numFmtId="164" fontId="17" fillId="0" borderId="0" xfId="0" applyNumberFormat="1" applyFont="1" applyAlignment="1">
      <alignment horizontal="right"/>
    </xf>
    <xf numFmtId="0" fontId="19" fillId="0" borderId="0" xfId="0" applyFont="1"/>
    <xf numFmtId="0" fontId="19" fillId="0" borderId="0" xfId="0" applyFont="1" applyAlignment="1">
      <alignment horizontal="center"/>
    </xf>
    <xf numFmtId="0" fontId="20" fillId="0" borderId="0" xfId="0" applyFont="1" applyAlignment="1">
      <alignment horizontal="center"/>
    </xf>
    <xf numFmtId="0" fontId="20" fillId="0" borderId="0" xfId="0" applyFont="1"/>
    <xf numFmtId="0" fontId="21" fillId="0" borderId="1" xfId="0" applyFont="1" applyBorder="1" applyAlignment="1">
      <alignment horizontal="center"/>
    </xf>
    <xf numFmtId="0" fontId="23" fillId="0" borderId="2" xfId="0" applyFont="1" applyBorder="1" applyAlignment="1">
      <alignment horizontal="center"/>
    </xf>
    <xf numFmtId="2" fontId="23" fillId="0" borderId="2" xfId="0" applyNumberFormat="1" applyFont="1" applyBorder="1" applyAlignment="1">
      <alignment horizontal="center"/>
    </xf>
    <xf numFmtId="2" fontId="23" fillId="0" borderId="0" xfId="0" applyNumberFormat="1" applyFont="1" applyAlignment="1">
      <alignment horizontal="center"/>
    </xf>
    <xf numFmtId="0" fontId="24" fillId="0" borderId="2" xfId="0" applyFont="1" applyBorder="1" applyAlignment="1">
      <alignment horizontal="center"/>
    </xf>
    <xf numFmtId="0" fontId="24" fillId="0" borderId="2" xfId="0" applyFont="1" applyBorder="1"/>
    <xf numFmtId="0" fontId="25" fillId="0" borderId="0" xfId="0" applyFont="1"/>
    <xf numFmtId="0" fontId="20" fillId="0" borderId="2" xfId="0" applyFont="1" applyBorder="1" applyAlignment="1">
      <alignment horizontal="center"/>
    </xf>
    <xf numFmtId="0" fontId="19" fillId="0" borderId="2" xfId="0" applyFont="1" applyBorder="1" applyAlignment="1">
      <alignment horizontal="center"/>
    </xf>
    <xf numFmtId="0" fontId="12" fillId="0" borderId="0" xfId="0" applyFont="1" applyAlignment="1">
      <alignment horizontal="center"/>
    </xf>
    <xf numFmtId="0" fontId="13"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cellXfs>
  <cellStyles count="2">
    <cellStyle name="Normal" xfId="0" builtinId="0"/>
    <cellStyle name="Normal_Sheet1" xfId="1" xr:uid="{C277E870-5E47-4F6C-91FE-748AE25FCD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1B637-BE50-4FFC-B580-AEFA2B8CB488}">
  <dimension ref="A1:H27"/>
  <sheetViews>
    <sheetView workbookViewId="0">
      <selection activeCell="H26" sqref="H26"/>
    </sheetView>
  </sheetViews>
  <sheetFormatPr defaultRowHeight="15.75" x14ac:dyDescent="0.25"/>
  <cols>
    <col min="1" max="16384" width="9.140625" style="13"/>
  </cols>
  <sheetData>
    <row r="1" spans="1:3" x14ac:dyDescent="0.25">
      <c r="C1" s="4" t="s">
        <v>102</v>
      </c>
    </row>
    <row r="3" spans="1:3" x14ac:dyDescent="0.25">
      <c r="A3" s="17" t="s">
        <v>128</v>
      </c>
    </row>
    <row r="4" spans="1:3" x14ac:dyDescent="0.25">
      <c r="A4" s="17"/>
    </row>
    <row r="5" spans="1:3" x14ac:dyDescent="0.25">
      <c r="A5" s="13" t="s">
        <v>129</v>
      </c>
    </row>
    <row r="8" spans="1:3" x14ac:dyDescent="0.25">
      <c r="A8" s="17" t="s">
        <v>132</v>
      </c>
    </row>
    <row r="9" spans="1:3" x14ac:dyDescent="0.25">
      <c r="A9" s="17"/>
    </row>
    <row r="10" spans="1:3" x14ac:dyDescent="0.25">
      <c r="A10" s="13" t="s">
        <v>130</v>
      </c>
    </row>
    <row r="11" spans="1:3" x14ac:dyDescent="0.25">
      <c r="A11" s="13" t="s">
        <v>131</v>
      </c>
    </row>
    <row r="14" spans="1:3" x14ac:dyDescent="0.25">
      <c r="A14" s="17" t="s">
        <v>133</v>
      </c>
    </row>
    <row r="16" spans="1:3" x14ac:dyDescent="0.25">
      <c r="A16" s="13" t="s">
        <v>134</v>
      </c>
    </row>
    <row r="17" spans="1:8" x14ac:dyDescent="0.25">
      <c r="A17" s="13" t="s">
        <v>135</v>
      </c>
    </row>
    <row r="18" spans="1:8" x14ac:dyDescent="0.25">
      <c r="A18" s="13" t="s">
        <v>136</v>
      </c>
    </row>
    <row r="19" spans="1:8" x14ac:dyDescent="0.25">
      <c r="A19" s="13" t="s">
        <v>137</v>
      </c>
    </row>
    <row r="21" spans="1:8" x14ac:dyDescent="0.25">
      <c r="A21" s="17" t="s">
        <v>138</v>
      </c>
    </row>
    <row r="22" spans="1:8" x14ac:dyDescent="0.25">
      <c r="A22" s="13" t="s">
        <v>139</v>
      </c>
    </row>
    <row r="25" spans="1:8" x14ac:dyDescent="0.25">
      <c r="A25" s="17" t="s">
        <v>140</v>
      </c>
      <c r="H25" s="17" t="s">
        <v>143</v>
      </c>
    </row>
    <row r="26" spans="1:8" x14ac:dyDescent="0.25">
      <c r="A26" s="17" t="s">
        <v>141</v>
      </c>
    </row>
    <row r="27" spans="1:8" x14ac:dyDescent="0.25">
      <c r="A27" s="17" t="s">
        <v>142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2D6CC-A372-41AD-AE81-6A5B8B13DD3E}">
  <dimension ref="B4:J26"/>
  <sheetViews>
    <sheetView workbookViewId="0">
      <selection activeCell="B18" sqref="B18"/>
    </sheetView>
  </sheetViews>
  <sheetFormatPr defaultRowHeight="15" x14ac:dyDescent="0.25"/>
  <cols>
    <col min="2" max="2" width="42" customWidth="1"/>
    <col min="5" max="5" width="10.140625" style="6" customWidth="1"/>
    <col min="258" max="258" width="42" customWidth="1"/>
    <col min="261" max="261" width="10.140625" customWidth="1"/>
    <col min="514" max="514" width="42" customWidth="1"/>
    <col min="517" max="517" width="10.140625" customWidth="1"/>
    <col min="770" max="770" width="42" customWidth="1"/>
    <col min="773" max="773" width="10.140625" customWidth="1"/>
    <col min="1026" max="1026" width="42" customWidth="1"/>
    <col min="1029" max="1029" width="10.140625" customWidth="1"/>
    <col min="1282" max="1282" width="42" customWidth="1"/>
    <col min="1285" max="1285" width="10.140625" customWidth="1"/>
    <col min="1538" max="1538" width="42" customWidth="1"/>
    <col min="1541" max="1541" width="10.140625" customWidth="1"/>
    <col min="1794" max="1794" width="42" customWidth="1"/>
    <col min="1797" max="1797" width="10.140625" customWidth="1"/>
    <col min="2050" max="2050" width="42" customWidth="1"/>
    <col min="2053" max="2053" width="10.140625" customWidth="1"/>
    <col min="2306" max="2306" width="42" customWidth="1"/>
    <col min="2309" max="2309" width="10.140625" customWidth="1"/>
    <col min="2562" max="2562" width="42" customWidth="1"/>
    <col min="2565" max="2565" width="10.140625" customWidth="1"/>
    <col min="2818" max="2818" width="42" customWidth="1"/>
    <col min="2821" max="2821" width="10.140625" customWidth="1"/>
    <col min="3074" max="3074" width="42" customWidth="1"/>
    <col min="3077" max="3077" width="10.140625" customWidth="1"/>
    <col min="3330" max="3330" width="42" customWidth="1"/>
    <col min="3333" max="3333" width="10.140625" customWidth="1"/>
    <col min="3586" max="3586" width="42" customWidth="1"/>
    <col min="3589" max="3589" width="10.140625" customWidth="1"/>
    <col min="3842" max="3842" width="42" customWidth="1"/>
    <col min="3845" max="3845" width="10.140625" customWidth="1"/>
    <col min="4098" max="4098" width="42" customWidth="1"/>
    <col min="4101" max="4101" width="10.140625" customWidth="1"/>
    <col min="4354" max="4354" width="42" customWidth="1"/>
    <col min="4357" max="4357" width="10.140625" customWidth="1"/>
    <col min="4610" max="4610" width="42" customWidth="1"/>
    <col min="4613" max="4613" width="10.140625" customWidth="1"/>
    <col min="4866" max="4866" width="42" customWidth="1"/>
    <col min="4869" max="4869" width="10.140625" customWidth="1"/>
    <col min="5122" max="5122" width="42" customWidth="1"/>
    <col min="5125" max="5125" width="10.140625" customWidth="1"/>
    <col min="5378" max="5378" width="42" customWidth="1"/>
    <col min="5381" max="5381" width="10.140625" customWidth="1"/>
    <col min="5634" max="5634" width="42" customWidth="1"/>
    <col min="5637" max="5637" width="10.140625" customWidth="1"/>
    <col min="5890" max="5890" width="42" customWidth="1"/>
    <col min="5893" max="5893" width="10.140625" customWidth="1"/>
    <col min="6146" max="6146" width="42" customWidth="1"/>
    <col min="6149" max="6149" width="10.140625" customWidth="1"/>
    <col min="6402" max="6402" width="42" customWidth="1"/>
    <col min="6405" max="6405" width="10.140625" customWidth="1"/>
    <col min="6658" max="6658" width="42" customWidth="1"/>
    <col min="6661" max="6661" width="10.140625" customWidth="1"/>
    <col min="6914" max="6914" width="42" customWidth="1"/>
    <col min="6917" max="6917" width="10.140625" customWidth="1"/>
    <col min="7170" max="7170" width="42" customWidth="1"/>
    <col min="7173" max="7173" width="10.140625" customWidth="1"/>
    <col min="7426" max="7426" width="42" customWidth="1"/>
    <col min="7429" max="7429" width="10.140625" customWidth="1"/>
    <col min="7682" max="7682" width="42" customWidth="1"/>
    <col min="7685" max="7685" width="10.140625" customWidth="1"/>
    <col min="7938" max="7938" width="42" customWidth="1"/>
    <col min="7941" max="7941" width="10.140625" customWidth="1"/>
    <col min="8194" max="8194" width="42" customWidth="1"/>
    <col min="8197" max="8197" width="10.140625" customWidth="1"/>
    <col min="8450" max="8450" width="42" customWidth="1"/>
    <col min="8453" max="8453" width="10.140625" customWidth="1"/>
    <col min="8706" max="8706" width="42" customWidth="1"/>
    <col min="8709" max="8709" width="10.140625" customWidth="1"/>
    <col min="8962" max="8962" width="42" customWidth="1"/>
    <col min="8965" max="8965" width="10.140625" customWidth="1"/>
    <col min="9218" max="9218" width="42" customWidth="1"/>
    <col min="9221" max="9221" width="10.140625" customWidth="1"/>
    <col min="9474" max="9474" width="42" customWidth="1"/>
    <col min="9477" max="9477" width="10.140625" customWidth="1"/>
    <col min="9730" max="9730" width="42" customWidth="1"/>
    <col min="9733" max="9733" width="10.140625" customWidth="1"/>
    <col min="9986" max="9986" width="42" customWidth="1"/>
    <col min="9989" max="9989" width="10.140625" customWidth="1"/>
    <col min="10242" max="10242" width="42" customWidth="1"/>
    <col min="10245" max="10245" width="10.140625" customWidth="1"/>
    <col min="10498" max="10498" width="42" customWidth="1"/>
    <col min="10501" max="10501" width="10.140625" customWidth="1"/>
    <col min="10754" max="10754" width="42" customWidth="1"/>
    <col min="10757" max="10757" width="10.140625" customWidth="1"/>
    <col min="11010" max="11010" width="42" customWidth="1"/>
    <col min="11013" max="11013" width="10.140625" customWidth="1"/>
    <col min="11266" max="11266" width="42" customWidth="1"/>
    <col min="11269" max="11269" width="10.140625" customWidth="1"/>
    <col min="11522" max="11522" width="42" customWidth="1"/>
    <col min="11525" max="11525" width="10.140625" customWidth="1"/>
    <col min="11778" max="11778" width="42" customWidth="1"/>
    <col min="11781" max="11781" width="10.140625" customWidth="1"/>
    <col min="12034" max="12034" width="42" customWidth="1"/>
    <col min="12037" max="12037" width="10.140625" customWidth="1"/>
    <col min="12290" max="12290" width="42" customWidth="1"/>
    <col min="12293" max="12293" width="10.140625" customWidth="1"/>
    <col min="12546" max="12546" width="42" customWidth="1"/>
    <col min="12549" max="12549" width="10.140625" customWidth="1"/>
    <col min="12802" max="12802" width="42" customWidth="1"/>
    <col min="12805" max="12805" width="10.140625" customWidth="1"/>
    <col min="13058" max="13058" width="42" customWidth="1"/>
    <col min="13061" max="13061" width="10.140625" customWidth="1"/>
    <col min="13314" max="13314" width="42" customWidth="1"/>
    <col min="13317" max="13317" width="10.140625" customWidth="1"/>
    <col min="13570" max="13570" width="42" customWidth="1"/>
    <col min="13573" max="13573" width="10.140625" customWidth="1"/>
    <col min="13826" max="13826" width="42" customWidth="1"/>
    <col min="13829" max="13829" width="10.140625" customWidth="1"/>
    <col min="14082" max="14082" width="42" customWidth="1"/>
    <col min="14085" max="14085" width="10.140625" customWidth="1"/>
    <col min="14338" max="14338" width="42" customWidth="1"/>
    <col min="14341" max="14341" width="10.140625" customWidth="1"/>
    <col min="14594" max="14594" width="42" customWidth="1"/>
    <col min="14597" max="14597" width="10.140625" customWidth="1"/>
    <col min="14850" max="14850" width="42" customWidth="1"/>
    <col min="14853" max="14853" width="10.140625" customWidth="1"/>
    <col min="15106" max="15106" width="42" customWidth="1"/>
    <col min="15109" max="15109" width="10.140625" customWidth="1"/>
    <col min="15362" max="15362" width="42" customWidth="1"/>
    <col min="15365" max="15365" width="10.140625" customWidth="1"/>
    <col min="15618" max="15618" width="42" customWidth="1"/>
    <col min="15621" max="15621" width="10.140625" customWidth="1"/>
    <col min="15874" max="15874" width="42" customWidth="1"/>
    <col min="15877" max="15877" width="10.140625" customWidth="1"/>
    <col min="16130" max="16130" width="42" customWidth="1"/>
    <col min="16133" max="16133" width="10.140625" customWidth="1"/>
  </cols>
  <sheetData>
    <row r="4" spans="2:6" ht="18.75" x14ac:dyDescent="0.3">
      <c r="B4" s="55" t="s">
        <v>99</v>
      </c>
      <c r="C4" s="55"/>
      <c r="D4" s="55"/>
      <c r="E4" s="55"/>
      <c r="F4" s="55"/>
    </row>
    <row r="5" spans="2:6" ht="15.75" x14ac:dyDescent="0.25">
      <c r="B5" s="1"/>
      <c r="C5" s="1"/>
      <c r="D5" s="1"/>
      <c r="E5" s="1"/>
      <c r="F5" s="1"/>
    </row>
    <row r="6" spans="2:6" s="8" customFormat="1" ht="15.75" x14ac:dyDescent="0.25">
      <c r="B6" s="25" t="s">
        <v>100</v>
      </c>
      <c r="C6" s="17"/>
      <c r="D6" s="17"/>
      <c r="E6" s="7" t="s">
        <v>101</v>
      </c>
    </row>
    <row r="7" spans="2:6" s="8" customFormat="1" ht="15.75" x14ac:dyDescent="0.25">
      <c r="B7" s="17"/>
      <c r="C7" s="17"/>
      <c r="D7" s="17"/>
      <c r="E7" s="7"/>
    </row>
    <row r="8" spans="2:6" s="8" customFormat="1" ht="15.75" x14ac:dyDescent="0.25">
      <c r="B8" s="13" t="s">
        <v>102</v>
      </c>
      <c r="C8" s="13"/>
      <c r="D8" s="13"/>
      <c r="E8" s="9"/>
    </row>
    <row r="9" spans="2:6" s="8" customFormat="1" ht="15.75" x14ac:dyDescent="0.25">
      <c r="B9" s="13"/>
      <c r="C9" s="13"/>
      <c r="D9" s="13"/>
      <c r="E9" s="9"/>
    </row>
    <row r="10" spans="2:6" s="8" customFormat="1" ht="15.75" x14ac:dyDescent="0.25">
      <c r="B10" s="13" t="s">
        <v>99</v>
      </c>
      <c r="C10" s="13"/>
      <c r="D10" s="13"/>
      <c r="E10" s="9"/>
    </row>
    <row r="11" spans="2:6" s="8" customFormat="1" ht="15.75" x14ac:dyDescent="0.25">
      <c r="B11" s="13"/>
      <c r="C11" s="13"/>
      <c r="D11" s="13"/>
      <c r="E11" s="9"/>
    </row>
    <row r="12" spans="2:6" s="8" customFormat="1" ht="15.75" x14ac:dyDescent="0.25">
      <c r="B12" s="13" t="s">
        <v>103</v>
      </c>
      <c r="C12" s="13"/>
      <c r="D12" s="13"/>
      <c r="E12" s="26"/>
    </row>
    <row r="13" spans="2:6" s="8" customFormat="1" ht="15.75" x14ac:dyDescent="0.25">
      <c r="B13" s="13"/>
      <c r="C13" s="13"/>
      <c r="D13" s="13"/>
      <c r="E13" s="9"/>
    </row>
    <row r="14" spans="2:6" s="8" customFormat="1" ht="15.75" x14ac:dyDescent="0.25">
      <c r="B14" s="13" t="s">
        <v>104</v>
      </c>
      <c r="C14" s="13"/>
      <c r="D14" s="13"/>
      <c r="E14" s="26"/>
    </row>
    <row r="15" spans="2:6" s="8" customFormat="1" ht="15.75" x14ac:dyDescent="0.25">
      <c r="B15" s="13"/>
      <c r="C15" s="13"/>
      <c r="D15" s="13"/>
      <c r="E15" s="9"/>
    </row>
    <row r="16" spans="2:6" s="8" customFormat="1" ht="15.75" x14ac:dyDescent="0.25">
      <c r="B16" s="13" t="s">
        <v>105</v>
      </c>
      <c r="C16" s="13"/>
      <c r="D16" s="13"/>
      <c r="E16" s="9"/>
    </row>
    <row r="17" spans="2:10" s="8" customFormat="1" ht="15.75" x14ac:dyDescent="0.25">
      <c r="C17" s="13"/>
      <c r="D17" s="13"/>
      <c r="E17" s="9"/>
    </row>
    <row r="18" spans="2:10" s="8" customFormat="1" ht="15.75" x14ac:dyDescent="0.25">
      <c r="B18" s="13" t="s">
        <v>106</v>
      </c>
      <c r="C18" s="13"/>
      <c r="D18" s="13"/>
      <c r="E18" s="26"/>
    </row>
    <row r="19" spans="2:10" s="8" customFormat="1" ht="15.75" x14ac:dyDescent="0.25">
      <c r="C19" s="13"/>
      <c r="D19" s="13"/>
      <c r="E19" s="9"/>
    </row>
    <row r="20" spans="2:10" s="8" customFormat="1" ht="15.75" x14ac:dyDescent="0.25">
      <c r="B20" s="13" t="s">
        <v>3</v>
      </c>
      <c r="C20" s="13"/>
      <c r="D20" s="13"/>
      <c r="E20" s="26"/>
      <c r="J20" s="8" t="s">
        <v>107</v>
      </c>
    </row>
    <row r="21" spans="2:10" s="8" customFormat="1" ht="15.75" x14ac:dyDescent="0.25">
      <c r="B21" s="13"/>
      <c r="C21" s="13"/>
      <c r="D21" s="13"/>
      <c r="E21" s="9"/>
    </row>
    <row r="22" spans="2:10" s="8" customFormat="1" ht="15.75" x14ac:dyDescent="0.25">
      <c r="B22" s="13" t="s">
        <v>108</v>
      </c>
      <c r="C22" s="13"/>
      <c r="E22" s="26"/>
    </row>
    <row r="23" spans="2:10" s="8" customFormat="1" ht="15.75" x14ac:dyDescent="0.25">
      <c r="C23" s="13"/>
      <c r="D23" s="13"/>
      <c r="E23" s="9"/>
    </row>
    <row r="24" spans="2:10" s="8" customFormat="1" ht="15.75" x14ac:dyDescent="0.25">
      <c r="C24" s="13"/>
      <c r="D24" s="13"/>
      <c r="E24" s="26"/>
    </row>
    <row r="25" spans="2:10" s="8" customFormat="1" ht="15.75" x14ac:dyDescent="0.25">
      <c r="C25" s="13"/>
      <c r="D25" s="13"/>
      <c r="E25" s="9"/>
    </row>
    <row r="26" spans="2:10" s="8" customFormat="1" ht="15.75" x14ac:dyDescent="0.25">
      <c r="C26" s="13"/>
      <c r="D26" s="13"/>
      <c r="E26" s="26"/>
    </row>
  </sheetData>
  <mergeCells count="1">
    <mergeCell ref="B4: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A68E5-56B0-465A-BE5C-92694EC5D37B}">
  <dimension ref="B2:H31"/>
  <sheetViews>
    <sheetView workbookViewId="0">
      <selection activeCell="C21" sqref="C21"/>
    </sheetView>
  </sheetViews>
  <sheetFormatPr defaultRowHeight="15" x14ac:dyDescent="0.25"/>
  <cols>
    <col min="3" max="3" width="8.7109375" bestFit="1" customWidth="1"/>
    <col min="4" max="4" width="13.85546875" bestFit="1" customWidth="1"/>
    <col min="5" max="5" width="12.42578125" bestFit="1" customWidth="1"/>
    <col min="6" max="6" width="16.5703125" bestFit="1" customWidth="1"/>
    <col min="7" max="7" width="16.42578125" bestFit="1" customWidth="1"/>
  </cols>
  <sheetData>
    <row r="2" spans="2:8" ht="17.25" x14ac:dyDescent="0.35">
      <c r="B2" s="41"/>
      <c r="C2" s="42"/>
      <c r="D2" s="42"/>
      <c r="E2" s="42"/>
      <c r="F2" s="43"/>
      <c r="G2" s="44"/>
      <c r="H2" s="41"/>
    </row>
    <row r="3" spans="2:8" ht="17.25" thickBot="1" x14ac:dyDescent="0.35">
      <c r="B3" s="41"/>
      <c r="C3" s="56" t="s">
        <v>0</v>
      </c>
      <c r="D3" s="56"/>
      <c r="E3" s="56"/>
      <c r="F3" s="56"/>
      <c r="G3" s="56"/>
      <c r="H3" s="56"/>
    </row>
    <row r="4" spans="2:8" ht="17.25" thickTop="1" x14ac:dyDescent="0.3">
      <c r="B4" s="41"/>
      <c r="C4" s="45" t="s">
        <v>113</v>
      </c>
      <c r="D4" s="45" t="s">
        <v>114</v>
      </c>
      <c r="E4" s="45" t="s">
        <v>115</v>
      </c>
      <c r="F4" s="45" t="s">
        <v>116</v>
      </c>
      <c r="G4" s="45" t="s">
        <v>117</v>
      </c>
      <c r="H4" s="2"/>
    </row>
    <row r="5" spans="2:8" ht="17.25" x14ac:dyDescent="0.35">
      <c r="B5" s="41"/>
      <c r="C5" s="46" t="s">
        <v>80</v>
      </c>
      <c r="D5" s="47">
        <v>113919.14</v>
      </c>
      <c r="E5" s="48">
        <v>3718.1</v>
      </c>
      <c r="F5" s="49" t="s">
        <v>123</v>
      </c>
      <c r="G5" s="50" t="s">
        <v>124</v>
      </c>
      <c r="H5" s="2"/>
    </row>
    <row r="6" spans="2:8" ht="17.25" x14ac:dyDescent="0.35">
      <c r="B6" s="51"/>
      <c r="C6" s="46" t="s">
        <v>84</v>
      </c>
      <c r="D6" s="47">
        <v>114218.49</v>
      </c>
      <c r="E6" s="48">
        <v>3692.81</v>
      </c>
      <c r="F6" s="52" t="s">
        <v>118</v>
      </c>
      <c r="G6" s="52" t="s">
        <v>118</v>
      </c>
      <c r="H6" s="51"/>
    </row>
    <row r="7" spans="2:8" ht="17.25" x14ac:dyDescent="0.35">
      <c r="B7" s="41"/>
      <c r="C7" s="46" t="s">
        <v>60</v>
      </c>
      <c r="D7" s="47">
        <v>114168.19</v>
      </c>
      <c r="E7" s="47">
        <v>4786.55</v>
      </c>
      <c r="F7" s="52" t="s">
        <v>118</v>
      </c>
      <c r="G7" s="52" t="s">
        <v>118</v>
      </c>
      <c r="H7" s="41"/>
    </row>
    <row r="8" spans="2:8" ht="17.25" x14ac:dyDescent="0.35">
      <c r="B8" s="41"/>
      <c r="C8" s="46" t="s">
        <v>64</v>
      </c>
      <c r="D8" s="47">
        <v>114044.16</v>
      </c>
      <c r="E8" s="47">
        <v>4685.55</v>
      </c>
      <c r="F8" s="52" t="s">
        <v>118</v>
      </c>
      <c r="G8" s="52" t="s">
        <v>118</v>
      </c>
      <c r="H8" s="30"/>
    </row>
    <row r="9" spans="2:8" ht="17.25" x14ac:dyDescent="0.35">
      <c r="B9" s="41"/>
      <c r="C9" s="46" t="s">
        <v>68</v>
      </c>
      <c r="D9" s="47">
        <v>113720.01</v>
      </c>
      <c r="E9" s="47">
        <v>4596.4399999999996</v>
      </c>
      <c r="F9" s="52" t="s">
        <v>119</v>
      </c>
      <c r="G9" s="52" t="s">
        <v>118</v>
      </c>
      <c r="H9" s="30"/>
    </row>
    <row r="10" spans="2:8" ht="17.25" x14ac:dyDescent="0.35">
      <c r="B10" s="41"/>
      <c r="C10" s="46" t="s">
        <v>72</v>
      </c>
      <c r="D10" s="47">
        <v>113350.6</v>
      </c>
      <c r="E10" s="47">
        <v>4397.45</v>
      </c>
      <c r="F10" s="52" t="s">
        <v>118</v>
      </c>
      <c r="G10" s="52" t="s">
        <v>118</v>
      </c>
      <c r="H10" s="30"/>
    </row>
    <row r="11" spans="2:8" ht="17.25" x14ac:dyDescent="0.35">
      <c r="B11" s="51"/>
      <c r="C11" s="46" t="s">
        <v>76</v>
      </c>
      <c r="D11" s="47">
        <v>113238.92</v>
      </c>
      <c r="E11" s="47">
        <v>4177.45</v>
      </c>
      <c r="F11" s="52" t="s">
        <v>144</v>
      </c>
      <c r="G11" s="52" t="s">
        <v>118</v>
      </c>
      <c r="H11" s="30"/>
    </row>
    <row r="12" spans="2:8" ht="17.25" x14ac:dyDescent="0.35">
      <c r="B12" s="51"/>
      <c r="C12" s="46" t="s">
        <v>50</v>
      </c>
      <c r="D12" s="47">
        <v>114621.15</v>
      </c>
      <c r="E12" s="47">
        <v>4990.8500000000004</v>
      </c>
      <c r="F12" s="52" t="s">
        <v>122</v>
      </c>
      <c r="G12" s="52" t="s">
        <v>118</v>
      </c>
      <c r="H12" s="30"/>
    </row>
    <row r="13" spans="2:8" ht="17.25" x14ac:dyDescent="0.35">
      <c r="B13" s="51"/>
      <c r="C13" s="46" t="s">
        <v>56</v>
      </c>
      <c r="D13" s="47">
        <v>114234.01</v>
      </c>
      <c r="E13" s="47">
        <v>4969.62</v>
      </c>
      <c r="F13" s="52" t="s">
        <v>123</v>
      </c>
      <c r="G13" s="52" t="s">
        <v>118</v>
      </c>
      <c r="H13" s="51"/>
    </row>
    <row r="14" spans="2:8" ht="17.25" x14ac:dyDescent="0.35">
      <c r="B14" s="51"/>
      <c r="C14" s="46" t="s">
        <v>37</v>
      </c>
      <c r="D14" s="47">
        <v>114370.35</v>
      </c>
      <c r="E14" s="47">
        <v>4182.37</v>
      </c>
      <c r="F14" s="52" t="s">
        <v>118</v>
      </c>
      <c r="G14" s="52" t="s">
        <v>118</v>
      </c>
      <c r="H14" s="51"/>
    </row>
    <row r="15" spans="2:8" ht="17.25" x14ac:dyDescent="0.35">
      <c r="B15" s="51"/>
      <c r="C15" s="46" t="s">
        <v>24</v>
      </c>
      <c r="D15" s="47">
        <v>114190.94</v>
      </c>
      <c r="E15" s="47">
        <v>4332.6000000000004</v>
      </c>
      <c r="F15" s="52" t="s">
        <v>121</v>
      </c>
      <c r="G15" s="52"/>
      <c r="H15" s="51"/>
    </row>
    <row r="16" spans="2:8" ht="17.25" x14ac:dyDescent="0.35">
      <c r="B16" s="51"/>
      <c r="C16" s="46" t="s">
        <v>27</v>
      </c>
      <c r="D16" s="47">
        <v>114198.58</v>
      </c>
      <c r="E16" s="47">
        <v>4259</v>
      </c>
      <c r="F16" s="52" t="s">
        <v>118</v>
      </c>
      <c r="G16" s="52"/>
      <c r="H16" s="51"/>
    </row>
    <row r="17" spans="2:8" ht="17.25" x14ac:dyDescent="0.35">
      <c r="B17" s="51"/>
      <c r="C17" s="46" t="s">
        <v>15</v>
      </c>
      <c r="D17" s="47">
        <v>114400.63</v>
      </c>
      <c r="E17" s="47">
        <v>4279.99</v>
      </c>
      <c r="F17" s="52" t="s">
        <v>118</v>
      </c>
      <c r="G17" s="52"/>
      <c r="H17" s="51"/>
    </row>
    <row r="18" spans="2:8" ht="17.25" x14ac:dyDescent="0.35">
      <c r="B18" s="30"/>
      <c r="C18" s="46" t="s">
        <v>19</v>
      </c>
      <c r="D18" s="47">
        <v>114424.48</v>
      </c>
      <c r="E18" s="47">
        <v>4356.24</v>
      </c>
      <c r="F18" s="52" t="s">
        <v>120</v>
      </c>
      <c r="G18" s="52"/>
      <c r="H18" s="30"/>
    </row>
    <row r="19" spans="2:8" ht="17.25" x14ac:dyDescent="0.35">
      <c r="B19" s="30"/>
      <c r="C19" s="46" t="s">
        <v>17</v>
      </c>
      <c r="D19" s="47">
        <v>114422.7</v>
      </c>
      <c r="E19" s="47">
        <v>-4351.13</v>
      </c>
      <c r="F19" s="52" t="s">
        <v>121</v>
      </c>
      <c r="G19" s="52"/>
      <c r="H19" s="30"/>
    </row>
    <row r="20" spans="2:8" ht="17.25" x14ac:dyDescent="0.35">
      <c r="B20" s="30"/>
      <c r="C20" s="46" t="s">
        <v>22</v>
      </c>
      <c r="D20" s="47">
        <v>114418.51</v>
      </c>
      <c r="E20" s="47">
        <v>-4356.24</v>
      </c>
      <c r="F20" s="52" t="s">
        <v>118</v>
      </c>
      <c r="G20" s="52"/>
      <c r="H20" s="30"/>
    </row>
    <row r="21" spans="2:8" ht="17.25" x14ac:dyDescent="0.35">
      <c r="B21" s="30"/>
      <c r="C21" s="46"/>
      <c r="D21" s="47"/>
      <c r="E21" s="47"/>
      <c r="F21" s="52"/>
      <c r="G21" s="52"/>
      <c r="H21" s="30"/>
    </row>
    <row r="22" spans="2:8" ht="17.25" x14ac:dyDescent="0.35">
      <c r="B22" s="30"/>
      <c r="C22" s="46"/>
      <c r="D22" s="47"/>
      <c r="E22" s="47"/>
      <c r="F22" s="52"/>
      <c r="G22" s="52"/>
      <c r="H22" s="30"/>
    </row>
    <row r="23" spans="2:8" ht="17.25" x14ac:dyDescent="0.35">
      <c r="B23" s="30"/>
      <c r="C23" s="46"/>
      <c r="D23" s="47"/>
      <c r="E23" s="47"/>
      <c r="F23" s="52"/>
      <c r="G23" s="52"/>
      <c r="H23" s="30"/>
    </row>
    <row r="24" spans="2:8" ht="17.25" x14ac:dyDescent="0.35">
      <c r="B24" s="30"/>
      <c r="C24" s="46"/>
      <c r="D24" s="47"/>
      <c r="E24" s="47"/>
      <c r="F24" s="52"/>
      <c r="G24" s="52"/>
      <c r="H24" s="30"/>
    </row>
    <row r="25" spans="2:8" ht="17.25" x14ac:dyDescent="0.35">
      <c r="B25" s="30"/>
      <c r="C25" s="46"/>
      <c r="D25" s="47"/>
      <c r="E25" s="47"/>
      <c r="F25" s="52"/>
      <c r="G25" s="52"/>
      <c r="H25" s="30"/>
    </row>
    <row r="26" spans="2:8" ht="17.25" x14ac:dyDescent="0.35">
      <c r="B26" s="30"/>
      <c r="C26" s="53"/>
      <c r="D26" s="47"/>
      <c r="E26" s="47"/>
      <c r="F26" s="52"/>
      <c r="G26" s="52"/>
      <c r="H26" s="30"/>
    </row>
    <row r="27" spans="2:8" ht="17.25" x14ac:dyDescent="0.35">
      <c r="B27" s="30"/>
      <c r="C27" s="53"/>
      <c r="D27" s="47"/>
      <c r="E27" s="47"/>
      <c r="F27" s="52"/>
      <c r="G27" s="52"/>
      <c r="H27" s="30"/>
    </row>
    <row r="28" spans="2:8" ht="17.25" x14ac:dyDescent="0.35">
      <c r="B28" s="30"/>
      <c r="C28" s="53"/>
      <c r="D28" s="47"/>
      <c r="E28" s="47"/>
      <c r="F28" s="52"/>
      <c r="G28" s="52"/>
      <c r="H28" s="30"/>
    </row>
    <row r="29" spans="2:8" ht="17.25" x14ac:dyDescent="0.35">
      <c r="B29" s="30"/>
      <c r="C29" s="53"/>
      <c r="D29" s="47"/>
      <c r="E29" s="47"/>
      <c r="F29" s="52"/>
      <c r="G29" s="52"/>
      <c r="H29" s="30"/>
    </row>
    <row r="30" spans="2:8" ht="17.25" x14ac:dyDescent="0.35">
      <c r="B30" s="30"/>
      <c r="C30" s="53"/>
      <c r="D30" s="47"/>
      <c r="E30" s="47"/>
      <c r="F30" s="52"/>
      <c r="G30" s="52"/>
      <c r="H30" s="30"/>
    </row>
    <row r="31" spans="2:8" x14ac:dyDescent="0.25">
      <c r="B31" s="30"/>
      <c r="H31" s="30"/>
    </row>
  </sheetData>
  <mergeCells count="1">
    <mergeCell ref="C3:H3"/>
  </mergeCells>
  <phoneticPr fontId="2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E1DC6-075B-412C-8547-6556FC1AB6E9}">
  <dimension ref="A1:J42"/>
  <sheetViews>
    <sheetView workbookViewId="0">
      <selection activeCell="A40" sqref="A40"/>
    </sheetView>
  </sheetViews>
  <sheetFormatPr defaultRowHeight="15" x14ac:dyDescent="0.25"/>
  <cols>
    <col min="1" max="1" width="12.5703125" bestFit="1" customWidth="1"/>
    <col min="3" max="3" width="12" customWidth="1"/>
    <col min="4" max="4" width="11.42578125" customWidth="1"/>
    <col min="6" max="6" width="11" bestFit="1" customWidth="1"/>
    <col min="7" max="7" width="14.42578125" bestFit="1" customWidth="1"/>
  </cols>
  <sheetData>
    <row r="1" spans="1:10" ht="15.75" x14ac:dyDescent="0.25">
      <c r="A1" s="13"/>
      <c r="B1" s="13"/>
      <c r="C1" s="13"/>
      <c r="D1" s="13"/>
      <c r="E1" s="13"/>
      <c r="F1" s="13"/>
      <c r="G1" s="13"/>
      <c r="H1" s="13"/>
      <c r="I1" s="13"/>
      <c r="J1" s="13"/>
    </row>
    <row r="2" spans="1:10" ht="15.75" x14ac:dyDescent="0.25">
      <c r="A2" s="13"/>
      <c r="B2" s="13"/>
      <c r="C2" s="1" t="s">
        <v>1</v>
      </c>
      <c r="D2" s="13"/>
      <c r="E2" s="13"/>
      <c r="F2" s="13"/>
      <c r="G2" s="13"/>
      <c r="H2" s="13"/>
      <c r="I2" s="13"/>
      <c r="J2" s="13"/>
    </row>
    <row r="3" spans="1:10" ht="15.75" x14ac:dyDescent="0.25">
      <c r="A3" s="13"/>
      <c r="B3" s="13"/>
      <c r="C3" s="13" t="s">
        <v>34</v>
      </c>
      <c r="D3" s="13" t="s">
        <v>35</v>
      </c>
      <c r="E3" s="13"/>
      <c r="F3" s="13" t="s">
        <v>47</v>
      </c>
      <c r="G3" s="13" t="s">
        <v>48</v>
      </c>
      <c r="H3" s="13"/>
      <c r="I3" s="13"/>
      <c r="J3" s="13"/>
    </row>
    <row r="4" spans="1:10" ht="15.75" x14ac:dyDescent="0.25">
      <c r="A4" s="13" t="s">
        <v>51</v>
      </c>
      <c r="B4" s="13" t="s">
        <v>37</v>
      </c>
      <c r="C4" s="13">
        <v>114370.35</v>
      </c>
      <c r="D4" s="13">
        <v>-4182.37</v>
      </c>
      <c r="E4" s="13"/>
      <c r="F4" s="13"/>
      <c r="G4" s="13"/>
      <c r="H4" s="13"/>
      <c r="I4" s="13"/>
      <c r="J4" s="13"/>
    </row>
    <row r="5" spans="1:10" ht="15.75" x14ac:dyDescent="0.25">
      <c r="A5" s="13"/>
      <c r="B5" s="13" t="s">
        <v>50</v>
      </c>
      <c r="C5" s="13">
        <v>114621.15</v>
      </c>
      <c r="D5" s="13">
        <v>-4990.8500000000004</v>
      </c>
      <c r="E5" s="13"/>
      <c r="F5" s="13" t="s">
        <v>52</v>
      </c>
      <c r="G5" s="23" t="s">
        <v>53</v>
      </c>
      <c r="H5" s="13"/>
      <c r="I5" s="13"/>
      <c r="J5" s="13"/>
    </row>
    <row r="6" spans="1:10" ht="15.75" x14ac:dyDescent="0.25">
      <c r="A6" s="13"/>
      <c r="B6" s="13"/>
      <c r="C6" s="13">
        <f>C4-C5</f>
        <v>-250.79999999998836</v>
      </c>
      <c r="D6" s="13">
        <f>D4-D5</f>
        <v>808.48000000000047</v>
      </c>
      <c r="E6" s="13"/>
      <c r="F6" s="13"/>
      <c r="G6" s="13"/>
      <c r="H6" s="13"/>
      <c r="I6" s="13"/>
      <c r="J6" s="13"/>
    </row>
    <row r="7" spans="1:10" ht="15.75" x14ac:dyDescent="0.25">
      <c r="A7" s="13"/>
      <c r="B7" s="13"/>
      <c r="C7" s="13"/>
      <c r="D7" s="13"/>
      <c r="E7" s="13"/>
      <c r="F7" s="13"/>
      <c r="G7" s="13"/>
      <c r="H7" s="13"/>
      <c r="I7" s="13"/>
      <c r="J7" s="13"/>
    </row>
    <row r="8" spans="1:10" ht="15.75" x14ac:dyDescent="0.25">
      <c r="A8" s="13" t="s">
        <v>55</v>
      </c>
      <c r="B8" s="13" t="s">
        <v>50</v>
      </c>
      <c r="C8" s="13">
        <v>114621.15</v>
      </c>
      <c r="D8" s="13">
        <v>-4990.8500000000004</v>
      </c>
      <c r="E8" s="13"/>
      <c r="F8" s="13"/>
      <c r="G8" s="13"/>
      <c r="H8" s="13"/>
      <c r="I8" s="13"/>
      <c r="J8" s="13"/>
    </row>
    <row r="9" spans="1:10" ht="15.75" x14ac:dyDescent="0.25">
      <c r="A9" s="13"/>
      <c r="B9" s="13" t="s">
        <v>56</v>
      </c>
      <c r="C9" s="13">
        <v>114234.01</v>
      </c>
      <c r="D9" s="13">
        <v>-4969.62</v>
      </c>
      <c r="E9" s="13"/>
      <c r="F9" s="13" t="s">
        <v>57</v>
      </c>
      <c r="G9" s="23" t="s">
        <v>58</v>
      </c>
      <c r="H9" s="13"/>
      <c r="I9" s="13"/>
      <c r="J9" s="13"/>
    </row>
    <row r="10" spans="1:10" ht="15.75" x14ac:dyDescent="0.25">
      <c r="A10" s="13"/>
      <c r="B10" s="13"/>
      <c r="C10" s="13">
        <f>C8-C9</f>
        <v>387.13999999999942</v>
      </c>
      <c r="D10" s="13">
        <f>D8-D9</f>
        <v>-21.230000000000473</v>
      </c>
      <c r="E10" s="13"/>
      <c r="F10" s="13"/>
      <c r="G10" s="13"/>
      <c r="H10" s="13"/>
      <c r="I10" s="13"/>
      <c r="J10" s="13"/>
    </row>
    <row r="11" spans="1:10" ht="15.75" x14ac:dyDescent="0.25">
      <c r="A11" s="13"/>
      <c r="B11" s="13"/>
      <c r="C11" s="13"/>
      <c r="D11" s="13"/>
      <c r="E11" s="13"/>
      <c r="F11" s="13"/>
      <c r="G11" s="13"/>
      <c r="H11" s="13"/>
      <c r="I11" s="13"/>
      <c r="J11" s="13"/>
    </row>
    <row r="12" spans="1:10" ht="15.75" x14ac:dyDescent="0.25">
      <c r="A12" s="13" t="s">
        <v>59</v>
      </c>
      <c r="B12" s="13" t="s">
        <v>56</v>
      </c>
      <c r="C12" s="13">
        <v>114234.01</v>
      </c>
      <c r="D12" s="13">
        <v>-4969.62</v>
      </c>
      <c r="E12" s="13"/>
      <c r="F12" s="13"/>
      <c r="G12" s="13"/>
      <c r="H12" s="13"/>
      <c r="I12" s="13"/>
      <c r="J12" s="13"/>
    </row>
    <row r="13" spans="1:10" ht="15.75" x14ac:dyDescent="0.25">
      <c r="A13" s="13"/>
      <c r="B13" s="13" t="s">
        <v>60</v>
      </c>
      <c r="C13" s="13">
        <v>114168.19</v>
      </c>
      <c r="D13" s="13">
        <v>-4786.55</v>
      </c>
      <c r="E13" s="13"/>
      <c r="F13" s="13" t="s">
        <v>61</v>
      </c>
      <c r="G13" s="23" t="s">
        <v>62</v>
      </c>
      <c r="H13" s="13"/>
      <c r="I13" s="13"/>
      <c r="J13" s="13"/>
    </row>
    <row r="14" spans="1:10" ht="15.75" x14ac:dyDescent="0.25">
      <c r="A14" s="13"/>
      <c r="B14" s="13"/>
      <c r="C14" s="13">
        <f>C12-C13</f>
        <v>65.819999999992433</v>
      </c>
      <c r="D14" s="13">
        <f>D12-D13</f>
        <v>-183.06999999999971</v>
      </c>
      <c r="E14" s="13"/>
      <c r="F14" s="13"/>
      <c r="G14" s="13"/>
      <c r="H14" s="13"/>
      <c r="I14" s="13"/>
      <c r="J14" s="13"/>
    </row>
    <row r="15" spans="1:10" ht="15.75" x14ac:dyDescent="0.25">
      <c r="A15" s="13"/>
      <c r="B15" s="13"/>
      <c r="C15" s="13"/>
      <c r="D15" s="13"/>
      <c r="E15" s="13"/>
      <c r="F15" s="13"/>
      <c r="G15" s="13"/>
      <c r="H15" s="13"/>
      <c r="I15" s="13"/>
      <c r="J15" s="13"/>
    </row>
    <row r="16" spans="1:10" ht="15.75" x14ac:dyDescent="0.25">
      <c r="A16" s="13" t="s">
        <v>63</v>
      </c>
      <c r="B16" s="13" t="s">
        <v>60</v>
      </c>
      <c r="C16" s="13">
        <v>114168.19</v>
      </c>
      <c r="D16" s="13">
        <v>-4786.55</v>
      </c>
      <c r="E16" s="13"/>
      <c r="F16" s="13"/>
      <c r="G16" s="13"/>
      <c r="H16" s="13"/>
      <c r="I16" s="13"/>
      <c r="J16" s="13"/>
    </row>
    <row r="17" spans="1:10" ht="15.75" x14ac:dyDescent="0.25">
      <c r="A17" s="13"/>
      <c r="B17" s="13" t="s">
        <v>64</v>
      </c>
      <c r="C17" s="13">
        <v>114044.16</v>
      </c>
      <c r="D17" s="13">
        <v>-4685.6400000000003</v>
      </c>
      <c r="E17" s="13"/>
      <c r="F17" s="13" t="s">
        <v>65</v>
      </c>
      <c r="G17" s="23" t="s">
        <v>66</v>
      </c>
      <c r="H17" s="13"/>
      <c r="I17" s="13"/>
      <c r="J17" s="13"/>
    </row>
    <row r="18" spans="1:10" ht="15.75" x14ac:dyDescent="0.25">
      <c r="A18" s="13"/>
      <c r="B18" s="13"/>
      <c r="C18" s="13">
        <f>C16-C17</f>
        <v>124.02999999999884</v>
      </c>
      <c r="D18" s="13">
        <f>D16-D17</f>
        <v>-100.90999999999985</v>
      </c>
      <c r="E18" s="13"/>
      <c r="F18" s="13"/>
      <c r="G18" s="13"/>
      <c r="H18" s="13"/>
      <c r="I18" s="13"/>
      <c r="J18" s="13"/>
    </row>
    <row r="19" spans="1:10" ht="15.75" x14ac:dyDescent="0.25">
      <c r="A19" s="13"/>
      <c r="B19" s="13"/>
      <c r="C19" s="13"/>
      <c r="D19" s="13"/>
      <c r="E19" s="13"/>
      <c r="F19" s="13"/>
      <c r="G19" s="13"/>
      <c r="H19" s="13"/>
      <c r="I19" s="13"/>
      <c r="J19" s="13"/>
    </row>
    <row r="20" spans="1:10" ht="15.75" x14ac:dyDescent="0.25">
      <c r="A20" s="13" t="s">
        <v>67</v>
      </c>
      <c r="B20" s="13" t="s">
        <v>64</v>
      </c>
      <c r="C20" s="13">
        <v>114044.16</v>
      </c>
      <c r="D20" s="13">
        <v>-4685.6400000000003</v>
      </c>
      <c r="E20" s="13"/>
      <c r="F20" s="13"/>
      <c r="G20" s="13"/>
      <c r="H20" s="13"/>
      <c r="I20" s="13"/>
      <c r="J20" s="13"/>
    </row>
    <row r="21" spans="1:10" ht="15.75" x14ac:dyDescent="0.25">
      <c r="A21" s="13"/>
      <c r="B21" s="13" t="s">
        <v>68</v>
      </c>
      <c r="C21" s="13">
        <v>113720.01</v>
      </c>
      <c r="D21" s="13">
        <v>-4596.4399999999996</v>
      </c>
      <c r="E21" s="13"/>
      <c r="F21" s="13" t="s">
        <v>69</v>
      </c>
      <c r="G21" s="23" t="s">
        <v>70</v>
      </c>
      <c r="H21" s="13"/>
      <c r="I21" s="13"/>
      <c r="J21" s="13"/>
    </row>
    <row r="22" spans="1:10" ht="15.75" x14ac:dyDescent="0.25">
      <c r="A22" s="13"/>
      <c r="B22" s="13"/>
      <c r="C22" s="13">
        <f>C20-C21</f>
        <v>324.15000000000873</v>
      </c>
      <c r="D22" s="13">
        <f>D20-D21</f>
        <v>-89.200000000000728</v>
      </c>
      <c r="E22" s="13"/>
      <c r="F22" s="13"/>
      <c r="G22" s="13"/>
      <c r="H22" s="13"/>
      <c r="I22" s="13"/>
      <c r="J22" s="13"/>
    </row>
    <row r="23" spans="1:10" ht="15.75" x14ac:dyDescent="0.25">
      <c r="A23" s="13"/>
      <c r="B23" s="13"/>
      <c r="C23" s="13"/>
      <c r="D23" s="13"/>
      <c r="E23" s="13"/>
      <c r="F23" s="13"/>
      <c r="G23" s="13"/>
      <c r="H23" s="13"/>
      <c r="I23" s="13"/>
      <c r="J23" s="13"/>
    </row>
    <row r="24" spans="1:10" ht="15.75" x14ac:dyDescent="0.25">
      <c r="A24" s="13" t="s">
        <v>71</v>
      </c>
      <c r="B24" s="13" t="s">
        <v>68</v>
      </c>
      <c r="C24" s="13">
        <v>113720.01</v>
      </c>
      <c r="D24" s="13">
        <v>-4596.4399999999996</v>
      </c>
      <c r="E24" s="13"/>
      <c r="F24" s="13"/>
      <c r="G24" s="13"/>
      <c r="H24" s="13"/>
      <c r="I24" s="13"/>
      <c r="J24" s="13"/>
    </row>
    <row r="25" spans="1:10" ht="15.75" x14ac:dyDescent="0.25">
      <c r="A25" s="13"/>
      <c r="B25" s="13" t="s">
        <v>72</v>
      </c>
      <c r="C25" s="13">
        <v>113350.6</v>
      </c>
      <c r="D25" s="13">
        <v>-4397.45</v>
      </c>
      <c r="E25" s="13"/>
      <c r="F25" s="13" t="s">
        <v>73</v>
      </c>
      <c r="G25" s="23" t="s">
        <v>74</v>
      </c>
      <c r="H25" s="13"/>
      <c r="I25" s="13"/>
      <c r="J25" s="13"/>
    </row>
    <row r="26" spans="1:10" ht="15.75" x14ac:dyDescent="0.25">
      <c r="A26" s="13"/>
      <c r="B26" s="13"/>
      <c r="C26" s="13">
        <f>C24-C25</f>
        <v>369.40999999998894</v>
      </c>
      <c r="D26" s="13">
        <f>D24-D25</f>
        <v>-198.98999999999978</v>
      </c>
      <c r="E26" s="13"/>
      <c r="F26" s="13"/>
      <c r="G26" s="13"/>
      <c r="H26" s="13"/>
      <c r="I26" s="13"/>
      <c r="J26" s="13"/>
    </row>
    <row r="27" spans="1:10" ht="15.75" x14ac:dyDescent="0.25">
      <c r="A27" s="13"/>
      <c r="B27" s="13"/>
      <c r="C27" s="13"/>
      <c r="D27" s="13"/>
      <c r="E27" s="13"/>
      <c r="F27" s="13"/>
      <c r="G27" s="13"/>
      <c r="H27" s="13"/>
      <c r="I27" s="13"/>
      <c r="J27" s="13"/>
    </row>
    <row r="28" spans="1:10" ht="15.75" x14ac:dyDescent="0.25">
      <c r="A28" s="13" t="s">
        <v>75</v>
      </c>
      <c r="B28" s="13" t="s">
        <v>72</v>
      </c>
      <c r="C28" s="13">
        <v>113350.6</v>
      </c>
      <c r="D28" s="13">
        <v>-4397.45</v>
      </c>
      <c r="E28" s="13"/>
      <c r="F28" s="13"/>
      <c r="G28" s="13"/>
      <c r="H28" s="13"/>
      <c r="I28" s="13"/>
      <c r="J28" s="13"/>
    </row>
    <row r="29" spans="1:10" ht="15.75" x14ac:dyDescent="0.25">
      <c r="A29" s="13"/>
      <c r="B29" s="13" t="s">
        <v>76</v>
      </c>
      <c r="C29" s="13">
        <v>113238.92</v>
      </c>
      <c r="D29" s="13">
        <v>-4177.45</v>
      </c>
      <c r="E29" s="13"/>
      <c r="F29" s="13" t="s">
        <v>77</v>
      </c>
      <c r="G29" s="23" t="s">
        <v>78</v>
      </c>
      <c r="H29" s="13"/>
      <c r="I29" s="13"/>
      <c r="J29" s="13"/>
    </row>
    <row r="30" spans="1:10" ht="15.75" x14ac:dyDescent="0.25">
      <c r="A30" s="13"/>
      <c r="B30" s="13"/>
      <c r="C30" s="13">
        <f>C28-C29</f>
        <v>111.68000000000757</v>
      </c>
      <c r="D30" s="13">
        <f>D28-D29</f>
        <v>-220</v>
      </c>
      <c r="E30" s="13"/>
      <c r="F30" s="13"/>
      <c r="G30" s="13"/>
      <c r="H30" s="13"/>
      <c r="I30" s="13"/>
      <c r="J30" s="13"/>
    </row>
    <row r="31" spans="1:10" ht="15.75" x14ac:dyDescent="0.25">
      <c r="A31" s="13"/>
      <c r="B31" s="13"/>
      <c r="C31" s="13"/>
      <c r="D31" s="13"/>
      <c r="E31" s="13"/>
      <c r="F31" s="13"/>
      <c r="G31" s="13"/>
      <c r="H31" s="13"/>
      <c r="I31" s="13"/>
      <c r="J31" s="13"/>
    </row>
    <row r="32" spans="1:10" ht="15.75" x14ac:dyDescent="0.25">
      <c r="A32" s="13" t="s">
        <v>79</v>
      </c>
      <c r="B32" s="13" t="s">
        <v>76</v>
      </c>
      <c r="C32" s="13">
        <v>113238.92</v>
      </c>
      <c r="D32" s="13">
        <v>-4177.45</v>
      </c>
      <c r="E32" s="13"/>
      <c r="F32" s="13"/>
      <c r="G32" s="13"/>
      <c r="H32" s="13"/>
      <c r="I32" s="13"/>
      <c r="J32" s="13"/>
    </row>
    <row r="33" spans="1:10" ht="15.75" x14ac:dyDescent="0.25">
      <c r="A33" s="13"/>
      <c r="B33" s="13" t="s">
        <v>80</v>
      </c>
      <c r="C33" s="13">
        <v>113919.14</v>
      </c>
      <c r="D33" s="13">
        <v>-3718.1</v>
      </c>
      <c r="E33" s="13"/>
      <c r="F33" s="13" t="s">
        <v>81</v>
      </c>
      <c r="G33" s="23" t="s">
        <v>82</v>
      </c>
      <c r="H33" s="13"/>
      <c r="I33" s="13"/>
      <c r="J33" s="13"/>
    </row>
    <row r="34" spans="1:10" ht="15.75" x14ac:dyDescent="0.25">
      <c r="A34" s="13"/>
      <c r="B34" s="13"/>
      <c r="C34" s="13">
        <f>C32-C33</f>
        <v>-680.22000000000116</v>
      </c>
      <c r="D34" s="13">
        <f>D32-D33</f>
        <v>-459.34999999999991</v>
      </c>
      <c r="E34" s="13"/>
      <c r="F34" s="13"/>
      <c r="G34" s="13"/>
      <c r="H34" s="13"/>
      <c r="I34" s="13"/>
      <c r="J34" s="13"/>
    </row>
    <row r="35" spans="1:10" ht="15.75" x14ac:dyDescent="0.25">
      <c r="A35" s="13"/>
      <c r="B35" s="13"/>
      <c r="C35" s="13"/>
      <c r="D35" s="13"/>
      <c r="E35" s="13"/>
      <c r="F35" s="13"/>
      <c r="G35" s="13"/>
      <c r="H35" s="13"/>
      <c r="I35" s="13"/>
      <c r="J35" s="13"/>
    </row>
    <row r="36" spans="1:10" ht="15.75" x14ac:dyDescent="0.25">
      <c r="A36" s="13" t="s">
        <v>83</v>
      </c>
      <c r="B36" s="13" t="s">
        <v>80</v>
      </c>
      <c r="C36" s="13">
        <v>113919.14</v>
      </c>
      <c r="D36" s="13">
        <v>-3718.1</v>
      </c>
      <c r="E36" s="13"/>
      <c r="F36" s="13"/>
      <c r="G36" s="13"/>
      <c r="H36" s="13"/>
      <c r="I36" s="13"/>
      <c r="J36" s="13"/>
    </row>
    <row r="37" spans="1:10" ht="15.75" x14ac:dyDescent="0.25">
      <c r="A37" s="13"/>
      <c r="B37" s="13" t="s">
        <v>84</v>
      </c>
      <c r="C37" s="13">
        <v>114218.49</v>
      </c>
      <c r="D37" s="13">
        <v>-3692.81</v>
      </c>
      <c r="E37" s="13"/>
      <c r="F37" s="13" t="s">
        <v>85</v>
      </c>
      <c r="G37" s="23" t="s">
        <v>86</v>
      </c>
      <c r="H37" s="13"/>
      <c r="I37" s="13"/>
      <c r="J37" s="13"/>
    </row>
    <row r="38" spans="1:10" ht="15.75" x14ac:dyDescent="0.25">
      <c r="C38" s="13">
        <f>C36-C37</f>
        <v>-299.35000000000582</v>
      </c>
      <c r="D38" s="13">
        <f>D36-D37</f>
        <v>-25.289999999999964</v>
      </c>
    </row>
    <row r="40" spans="1:10" ht="15.75" x14ac:dyDescent="0.25">
      <c r="A40" s="13" t="s">
        <v>87</v>
      </c>
      <c r="B40" s="13" t="s">
        <v>84</v>
      </c>
      <c r="C40" s="13">
        <v>114218.49</v>
      </c>
      <c r="D40" s="13">
        <v>-3692.81</v>
      </c>
    </row>
    <row r="41" spans="1:10" ht="15.75" x14ac:dyDescent="0.25">
      <c r="A41" s="13"/>
      <c r="B41" s="13" t="s">
        <v>37</v>
      </c>
      <c r="C41" s="13">
        <v>114370.35</v>
      </c>
      <c r="D41" s="13">
        <v>-4182.37</v>
      </c>
      <c r="F41" s="13" t="s">
        <v>88</v>
      </c>
      <c r="G41" s="23" t="s">
        <v>53</v>
      </c>
    </row>
    <row r="42" spans="1:10" ht="15.75" x14ac:dyDescent="0.25">
      <c r="C42" s="13">
        <f>C40-C41</f>
        <v>-151.86000000000058</v>
      </c>
      <c r="D42" s="13">
        <f>D40-D41</f>
        <v>489.55999999999995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9E0B7-406B-4952-804A-FAB70F328353}">
  <dimension ref="A2:L87"/>
  <sheetViews>
    <sheetView topLeftCell="A52" workbookViewId="0">
      <selection activeCell="H84" sqref="H84"/>
    </sheetView>
  </sheetViews>
  <sheetFormatPr defaultRowHeight="15" x14ac:dyDescent="0.25"/>
  <cols>
    <col min="1" max="1" width="13.140625" bestFit="1" customWidth="1"/>
    <col min="3" max="3" width="12.140625" bestFit="1" customWidth="1"/>
    <col min="4" max="4" width="9.85546875" customWidth="1"/>
    <col min="5" max="5" width="11.85546875" bestFit="1" customWidth="1"/>
    <col min="6" max="6" width="11" bestFit="1" customWidth="1"/>
  </cols>
  <sheetData>
    <row r="2" spans="1:12" ht="15.75" x14ac:dyDescent="0.25">
      <c r="A2" s="13"/>
      <c r="B2" s="13"/>
      <c r="C2" s="13"/>
      <c r="D2" s="1" t="s">
        <v>2</v>
      </c>
      <c r="E2" s="13"/>
      <c r="F2" s="13"/>
      <c r="G2" s="13"/>
      <c r="H2" s="13"/>
      <c r="I2" s="13"/>
      <c r="J2" s="13"/>
      <c r="K2" s="13"/>
      <c r="L2" s="13"/>
    </row>
    <row r="3" spans="1:12" ht="15.75" x14ac:dyDescent="0.25">
      <c r="A3" s="13"/>
      <c r="B3" s="13"/>
      <c r="C3" s="13"/>
      <c r="D3" s="13"/>
      <c r="E3" s="13"/>
      <c r="F3" s="13"/>
      <c r="G3" s="13"/>
      <c r="H3" s="13"/>
      <c r="I3" s="13"/>
      <c r="J3" s="13"/>
      <c r="K3" s="13"/>
      <c r="L3" s="13"/>
    </row>
    <row r="4" spans="1:12" ht="15.75" x14ac:dyDescent="0.25">
      <c r="A4" s="13" t="s">
        <v>31</v>
      </c>
      <c r="B4" s="13"/>
      <c r="C4" s="13" t="s">
        <v>34</v>
      </c>
      <c r="D4" s="13" t="s">
        <v>35</v>
      </c>
      <c r="E4" s="13"/>
      <c r="F4" s="13" t="s">
        <v>47</v>
      </c>
      <c r="G4" s="13" t="s">
        <v>48</v>
      </c>
      <c r="H4" s="13"/>
      <c r="I4" s="13"/>
      <c r="J4" s="13"/>
      <c r="K4" s="13"/>
      <c r="L4" s="13"/>
    </row>
    <row r="5" spans="1:12" ht="15.75" x14ac:dyDescent="0.25">
      <c r="A5" s="13" t="s">
        <v>49</v>
      </c>
      <c r="B5" s="13" t="s">
        <v>37</v>
      </c>
      <c r="C5" s="13">
        <v>114370.35</v>
      </c>
      <c r="D5" s="13">
        <v>-4182.37</v>
      </c>
      <c r="E5" s="13"/>
      <c r="F5" s="13"/>
      <c r="G5" s="13"/>
      <c r="H5" s="13"/>
      <c r="I5" s="13"/>
      <c r="J5" s="13"/>
      <c r="K5" s="13"/>
      <c r="L5" s="13"/>
    </row>
    <row r="6" spans="1:12" ht="15.75" x14ac:dyDescent="0.25">
      <c r="A6" s="13"/>
      <c r="B6" s="13" t="s">
        <v>50</v>
      </c>
      <c r="C6" s="13">
        <v>114621.15</v>
      </c>
      <c r="D6" s="13">
        <v>-4990.8500000000004</v>
      </c>
      <c r="E6" s="13"/>
      <c r="F6" s="24" t="s">
        <v>89</v>
      </c>
      <c r="G6" s="23" t="s">
        <v>53</v>
      </c>
      <c r="H6" s="13"/>
      <c r="I6" s="13"/>
      <c r="J6" s="13"/>
      <c r="K6" s="13"/>
      <c r="L6" s="13"/>
    </row>
    <row r="7" spans="1:12" ht="25.5" customHeight="1" x14ac:dyDescent="0.25">
      <c r="A7" s="13"/>
      <c r="B7" s="13"/>
      <c r="C7" s="14">
        <f>C5-C6</f>
        <v>-250.79999999998836</v>
      </c>
      <c r="D7" s="13">
        <f>D5-D6</f>
        <v>808.48000000000047</v>
      </c>
      <c r="E7" s="13" t="s">
        <v>54</v>
      </c>
      <c r="F7" s="24" t="s">
        <v>89</v>
      </c>
      <c r="G7" s="23" t="s">
        <v>53</v>
      </c>
      <c r="H7" s="13"/>
      <c r="I7" s="13"/>
      <c r="J7" s="13"/>
      <c r="K7" s="13"/>
      <c r="L7" s="13"/>
    </row>
    <row r="8" spans="1:12" ht="21.75" customHeight="1" x14ac:dyDescent="0.25">
      <c r="A8" s="13" t="s">
        <v>55</v>
      </c>
      <c r="B8" s="13"/>
      <c r="C8" s="13"/>
      <c r="D8" s="13"/>
      <c r="E8" s="13"/>
      <c r="F8" s="13"/>
      <c r="G8" s="13"/>
      <c r="H8" s="13"/>
      <c r="I8" s="13"/>
      <c r="J8" s="13"/>
      <c r="K8" s="13"/>
      <c r="L8" s="13"/>
    </row>
    <row r="9" spans="1:12" ht="15.75" x14ac:dyDescent="0.25">
      <c r="A9" s="13"/>
      <c r="B9" s="13" t="s">
        <v>50</v>
      </c>
      <c r="C9" s="13">
        <v>114621.15</v>
      </c>
      <c r="D9" s="13">
        <v>-4990.8500000000004</v>
      </c>
      <c r="E9" s="13"/>
      <c r="F9" s="13"/>
      <c r="G9" s="13"/>
      <c r="H9" s="13"/>
      <c r="I9" s="13"/>
      <c r="J9" s="13"/>
      <c r="K9" s="13"/>
      <c r="L9" s="13"/>
    </row>
    <row r="10" spans="1:12" ht="15.75" x14ac:dyDescent="0.25">
      <c r="A10" s="13"/>
      <c r="B10" s="13" t="s">
        <v>56</v>
      </c>
      <c r="C10" s="13">
        <v>114234.01</v>
      </c>
      <c r="D10" s="13">
        <v>-4969.62</v>
      </c>
      <c r="E10" s="13"/>
      <c r="F10" s="24" t="s">
        <v>90</v>
      </c>
      <c r="G10" s="23" t="s">
        <v>58</v>
      </c>
      <c r="H10" s="13"/>
      <c r="I10" s="13"/>
      <c r="J10" s="13"/>
      <c r="K10" s="13"/>
      <c r="L10" s="13"/>
    </row>
    <row r="11" spans="1:12" ht="15.75" x14ac:dyDescent="0.25">
      <c r="A11" s="13"/>
      <c r="B11" s="13"/>
      <c r="C11" s="13">
        <f>C9-C10</f>
        <v>387.13999999999942</v>
      </c>
      <c r="D11" s="13">
        <f>D9-D10</f>
        <v>-21.230000000000473</v>
      </c>
      <c r="E11" s="13" t="s">
        <v>54</v>
      </c>
      <c r="F11" s="24" t="s">
        <v>90</v>
      </c>
      <c r="G11" s="23" t="s">
        <v>58</v>
      </c>
      <c r="H11" s="13"/>
      <c r="I11" s="13"/>
      <c r="J11" s="13"/>
      <c r="K11" s="13"/>
      <c r="L11" s="13"/>
    </row>
    <row r="12" spans="1:12" ht="18.75" customHeight="1" x14ac:dyDescent="0.25">
      <c r="A12" s="13" t="s">
        <v>59</v>
      </c>
      <c r="B12" s="13"/>
      <c r="C12" s="13"/>
      <c r="D12" s="13"/>
      <c r="E12" s="13"/>
      <c r="F12" s="13"/>
      <c r="G12" s="13"/>
      <c r="H12" s="13"/>
      <c r="I12" s="13"/>
      <c r="J12" s="13"/>
      <c r="K12" s="13"/>
      <c r="L12" s="13"/>
    </row>
    <row r="13" spans="1:12" ht="15.75" x14ac:dyDescent="0.25">
      <c r="A13" s="13"/>
      <c r="B13" s="13" t="s">
        <v>56</v>
      </c>
      <c r="C13" s="13">
        <v>114234.01</v>
      </c>
      <c r="D13" s="13">
        <v>-4969.62</v>
      </c>
      <c r="E13" s="13"/>
      <c r="F13" s="13"/>
      <c r="G13" s="13"/>
      <c r="H13" s="13"/>
      <c r="I13" s="13"/>
      <c r="J13" s="13"/>
      <c r="K13" s="13"/>
      <c r="L13" s="13"/>
    </row>
    <row r="14" spans="1:12" ht="15.75" x14ac:dyDescent="0.25">
      <c r="A14" s="13"/>
      <c r="B14" s="13" t="s">
        <v>60</v>
      </c>
      <c r="C14" s="13">
        <v>114168.19</v>
      </c>
      <c r="D14" s="13">
        <v>-4786.55</v>
      </c>
      <c r="E14" s="13"/>
      <c r="F14" s="24" t="s">
        <v>91</v>
      </c>
      <c r="G14" s="23" t="s">
        <v>62</v>
      </c>
      <c r="H14" s="13"/>
      <c r="I14" s="13"/>
      <c r="J14" s="13"/>
      <c r="K14" s="13"/>
      <c r="L14" s="13"/>
    </row>
    <row r="15" spans="1:12" ht="15.75" x14ac:dyDescent="0.25">
      <c r="A15" s="13"/>
      <c r="B15" s="13"/>
      <c r="C15" s="13">
        <f>C13-C14</f>
        <v>65.819999999992433</v>
      </c>
      <c r="D15" s="13">
        <f>D13-D14</f>
        <v>-183.06999999999971</v>
      </c>
      <c r="E15" s="13" t="s">
        <v>54</v>
      </c>
      <c r="F15" s="24" t="s">
        <v>91</v>
      </c>
      <c r="G15" s="23" t="s">
        <v>62</v>
      </c>
      <c r="H15" s="13"/>
      <c r="I15" s="13"/>
      <c r="J15" s="13"/>
      <c r="K15" s="13"/>
      <c r="L15" s="13"/>
    </row>
    <row r="16" spans="1:12" ht="21.75" customHeight="1" x14ac:dyDescent="0.25">
      <c r="A16" s="13" t="s">
        <v>63</v>
      </c>
      <c r="B16" s="13"/>
      <c r="C16" s="13"/>
      <c r="D16" s="13"/>
      <c r="E16" s="13"/>
      <c r="F16" s="13"/>
      <c r="G16" s="13"/>
      <c r="H16" s="13"/>
      <c r="I16" s="13"/>
      <c r="J16" s="13"/>
      <c r="K16" s="13"/>
      <c r="L16" s="13"/>
    </row>
    <row r="17" spans="1:12" ht="15.75" x14ac:dyDescent="0.25">
      <c r="A17" s="13"/>
      <c r="B17" s="13" t="s">
        <v>60</v>
      </c>
      <c r="C17" s="13">
        <v>114168.19</v>
      </c>
      <c r="D17" s="13">
        <v>-4786.55</v>
      </c>
      <c r="E17" s="13"/>
      <c r="F17" s="13"/>
      <c r="G17" s="13"/>
      <c r="H17" s="13"/>
      <c r="I17" s="13"/>
      <c r="J17" s="13"/>
      <c r="K17" s="13"/>
      <c r="L17" s="13"/>
    </row>
    <row r="18" spans="1:12" ht="15.75" x14ac:dyDescent="0.25">
      <c r="A18" s="13"/>
      <c r="B18" s="13" t="s">
        <v>64</v>
      </c>
      <c r="C18" s="13">
        <v>114044.16</v>
      </c>
      <c r="D18" s="13">
        <v>-4685.6400000000003</v>
      </c>
      <c r="E18" s="13"/>
      <c r="F18" s="24" t="s">
        <v>92</v>
      </c>
      <c r="G18" s="23" t="s">
        <v>66</v>
      </c>
      <c r="H18" s="13"/>
      <c r="I18" s="13"/>
      <c r="J18" s="13"/>
      <c r="K18" s="13"/>
      <c r="L18" s="13"/>
    </row>
    <row r="19" spans="1:12" ht="15.75" x14ac:dyDescent="0.25">
      <c r="A19" s="13"/>
      <c r="B19" s="13"/>
      <c r="C19" s="13">
        <f>C17-C18</f>
        <v>124.02999999999884</v>
      </c>
      <c r="D19" s="13">
        <f>D17-D18</f>
        <v>-100.90999999999985</v>
      </c>
      <c r="E19" s="13" t="s">
        <v>54</v>
      </c>
      <c r="F19" s="24" t="s">
        <v>92</v>
      </c>
      <c r="G19" s="23" t="s">
        <v>66</v>
      </c>
      <c r="H19" s="13"/>
      <c r="I19" s="13"/>
      <c r="J19" s="13"/>
      <c r="K19" s="13"/>
      <c r="L19" s="13"/>
    </row>
    <row r="20" spans="1:12" ht="20.25" customHeight="1" x14ac:dyDescent="0.25">
      <c r="A20" s="13" t="s">
        <v>67</v>
      </c>
      <c r="B20" s="13"/>
      <c r="C20" s="13"/>
      <c r="D20" s="13"/>
      <c r="E20" s="13"/>
      <c r="F20" s="13"/>
      <c r="G20" s="13"/>
      <c r="H20" s="13"/>
      <c r="I20" s="13"/>
      <c r="J20" s="13"/>
      <c r="K20" s="13"/>
      <c r="L20" s="13"/>
    </row>
    <row r="21" spans="1:12" ht="15.75" x14ac:dyDescent="0.25">
      <c r="A21" s="13"/>
      <c r="B21" s="13" t="s">
        <v>64</v>
      </c>
      <c r="C21" s="13">
        <v>114044.16</v>
      </c>
      <c r="D21" s="13">
        <v>-4685.6400000000003</v>
      </c>
      <c r="E21" s="13"/>
      <c r="F21" s="13"/>
      <c r="G21" s="13"/>
      <c r="H21" s="13"/>
      <c r="I21" s="13"/>
      <c r="J21" s="13"/>
      <c r="K21" s="13"/>
      <c r="L21" s="13"/>
    </row>
    <row r="22" spans="1:12" ht="15.75" x14ac:dyDescent="0.25">
      <c r="A22" s="13"/>
      <c r="B22" s="13" t="s">
        <v>68</v>
      </c>
      <c r="C22" s="13">
        <v>113720.01</v>
      </c>
      <c r="D22" s="13">
        <v>-4596.4399999999996</v>
      </c>
      <c r="E22" s="13"/>
      <c r="F22" s="24" t="s">
        <v>93</v>
      </c>
      <c r="G22" s="23" t="s">
        <v>70</v>
      </c>
      <c r="H22" s="13"/>
      <c r="I22" s="13"/>
      <c r="J22" s="13"/>
      <c r="K22" s="13"/>
      <c r="L22" s="13"/>
    </row>
    <row r="23" spans="1:12" ht="15.75" x14ac:dyDescent="0.25">
      <c r="A23" s="13"/>
      <c r="B23" s="13"/>
      <c r="C23" s="13">
        <f>C21-C22</f>
        <v>324.15000000000873</v>
      </c>
      <c r="D23" s="13">
        <f>D21-D22</f>
        <v>-89.200000000000728</v>
      </c>
      <c r="E23" s="13" t="s">
        <v>54</v>
      </c>
      <c r="F23" s="24" t="s">
        <v>93</v>
      </c>
      <c r="G23" s="23" t="s">
        <v>70</v>
      </c>
      <c r="H23" s="13"/>
      <c r="I23" s="13"/>
      <c r="J23" s="13"/>
      <c r="K23" s="13"/>
      <c r="L23" s="13"/>
    </row>
    <row r="24" spans="1:12" ht="15.75" x14ac:dyDescent="0.25">
      <c r="A24" s="13" t="s">
        <v>71</v>
      </c>
      <c r="B24" s="13"/>
      <c r="C24" s="13"/>
      <c r="D24" s="13"/>
      <c r="E24" s="13"/>
      <c r="F24" s="13"/>
      <c r="G24" s="13"/>
      <c r="H24" s="13"/>
      <c r="I24" s="13"/>
      <c r="J24" s="13"/>
      <c r="K24" s="13"/>
      <c r="L24" s="13"/>
    </row>
    <row r="25" spans="1:12" ht="15.75" x14ac:dyDescent="0.25">
      <c r="A25" s="13"/>
      <c r="B25" s="13" t="s">
        <v>68</v>
      </c>
      <c r="C25" s="13">
        <v>113720.01</v>
      </c>
      <c r="D25" s="13">
        <v>-4596.4399999999996</v>
      </c>
      <c r="E25" s="13"/>
      <c r="F25" s="13"/>
      <c r="G25" s="13"/>
      <c r="H25" s="13"/>
      <c r="I25" s="13"/>
      <c r="J25" s="13"/>
      <c r="K25" s="13"/>
      <c r="L25" s="13"/>
    </row>
    <row r="26" spans="1:12" ht="15.75" x14ac:dyDescent="0.25">
      <c r="A26" s="13"/>
      <c r="B26" s="13" t="s">
        <v>72</v>
      </c>
      <c r="C26" s="13">
        <v>113350.6</v>
      </c>
      <c r="D26" s="13">
        <v>-4397.45</v>
      </c>
      <c r="E26" s="13"/>
      <c r="F26" s="24" t="s">
        <v>94</v>
      </c>
      <c r="G26" s="23" t="s">
        <v>74</v>
      </c>
      <c r="H26" s="13"/>
      <c r="I26" s="13"/>
      <c r="J26" s="13"/>
      <c r="K26" s="13"/>
      <c r="L26" s="13"/>
    </row>
    <row r="27" spans="1:12" ht="15.75" x14ac:dyDescent="0.25">
      <c r="A27" s="13"/>
      <c r="B27" s="13"/>
      <c r="C27" s="13">
        <f>C25-C26</f>
        <v>369.40999999998894</v>
      </c>
      <c r="D27" s="13">
        <f>D25-D26</f>
        <v>-198.98999999999978</v>
      </c>
      <c r="E27" s="13" t="s">
        <v>54</v>
      </c>
      <c r="F27" s="24" t="s">
        <v>94</v>
      </c>
      <c r="G27" s="23" t="s">
        <v>74</v>
      </c>
      <c r="H27" s="13"/>
      <c r="I27" s="13"/>
      <c r="J27" s="13"/>
      <c r="K27" s="13"/>
      <c r="L27" s="13"/>
    </row>
    <row r="28" spans="1:12" ht="15.75" x14ac:dyDescent="0.25">
      <c r="A28" s="13" t="s">
        <v>75</v>
      </c>
      <c r="B28" s="13"/>
      <c r="C28" s="13"/>
      <c r="D28" s="13"/>
      <c r="E28" s="13"/>
      <c r="F28" s="13"/>
      <c r="G28" s="13"/>
      <c r="H28" s="13"/>
      <c r="I28" s="13"/>
      <c r="J28" s="13"/>
      <c r="K28" s="13"/>
      <c r="L28" s="13"/>
    </row>
    <row r="29" spans="1:12" ht="15.75" x14ac:dyDescent="0.25">
      <c r="A29" s="13"/>
      <c r="B29" s="13" t="s">
        <v>72</v>
      </c>
      <c r="C29" s="13">
        <v>113350.6</v>
      </c>
      <c r="D29" s="13">
        <v>-4397.45</v>
      </c>
      <c r="E29" s="13"/>
      <c r="F29" s="13"/>
      <c r="G29" s="13"/>
      <c r="H29" s="13"/>
      <c r="I29" s="13"/>
      <c r="J29" s="13"/>
      <c r="K29" s="13"/>
      <c r="L29" s="13"/>
    </row>
    <row r="30" spans="1:12" ht="15.75" x14ac:dyDescent="0.25">
      <c r="A30" s="13"/>
      <c r="B30" s="13" t="s">
        <v>76</v>
      </c>
      <c r="C30" s="13">
        <v>113238.92</v>
      </c>
      <c r="D30" s="13">
        <v>-4177.45</v>
      </c>
      <c r="E30" s="13"/>
      <c r="F30" s="24" t="s">
        <v>95</v>
      </c>
      <c r="G30" s="23" t="s">
        <v>78</v>
      </c>
      <c r="H30" s="13"/>
      <c r="I30" s="13"/>
      <c r="J30" s="13"/>
      <c r="K30" s="13"/>
      <c r="L30" s="13"/>
    </row>
    <row r="31" spans="1:12" ht="15.75" x14ac:dyDescent="0.25">
      <c r="A31" s="13"/>
      <c r="B31" s="13"/>
      <c r="C31" s="13">
        <f>C29-C30</f>
        <v>111.68000000000757</v>
      </c>
      <c r="D31" s="13">
        <f>D29-D30</f>
        <v>-220</v>
      </c>
      <c r="E31" s="13" t="s">
        <v>54</v>
      </c>
      <c r="F31" s="24" t="s">
        <v>95</v>
      </c>
      <c r="G31" s="23" t="s">
        <v>78</v>
      </c>
      <c r="H31" s="13"/>
      <c r="I31" s="13"/>
      <c r="J31" s="13"/>
      <c r="K31" s="13"/>
      <c r="L31" s="13"/>
    </row>
    <row r="32" spans="1:12" ht="15.75" x14ac:dyDescent="0.25">
      <c r="A32" s="13" t="s">
        <v>79</v>
      </c>
      <c r="B32" s="13"/>
      <c r="C32" s="13"/>
      <c r="D32" s="13"/>
      <c r="E32" s="13"/>
      <c r="F32" s="13"/>
      <c r="G32" s="13"/>
      <c r="H32" s="13"/>
      <c r="I32" s="13"/>
      <c r="J32" s="13"/>
      <c r="K32" s="13"/>
      <c r="L32" s="13"/>
    </row>
    <row r="33" spans="1:7" ht="15.75" x14ac:dyDescent="0.25">
      <c r="B33" s="13" t="s">
        <v>76</v>
      </c>
      <c r="C33" s="13">
        <v>113238.92</v>
      </c>
      <c r="D33" s="13">
        <v>-4177.45</v>
      </c>
      <c r="E33" s="13"/>
      <c r="F33" s="13"/>
      <c r="G33" s="13"/>
    </row>
    <row r="34" spans="1:7" ht="15.75" x14ac:dyDescent="0.25">
      <c r="B34" s="13" t="s">
        <v>80</v>
      </c>
      <c r="C34" s="13">
        <v>113919.14</v>
      </c>
      <c r="D34" s="13">
        <v>-3718.1</v>
      </c>
      <c r="E34" s="13"/>
      <c r="F34" s="24" t="s">
        <v>96</v>
      </c>
      <c r="G34" s="23" t="s">
        <v>82</v>
      </c>
    </row>
    <row r="35" spans="1:7" ht="15.75" x14ac:dyDescent="0.25">
      <c r="B35" s="13"/>
      <c r="C35" s="13">
        <f>C33-C34</f>
        <v>-680.22000000000116</v>
      </c>
      <c r="D35" s="13">
        <f>D33-D34</f>
        <v>-459.34999999999991</v>
      </c>
      <c r="E35" s="13" t="s">
        <v>54</v>
      </c>
      <c r="F35" s="24" t="s">
        <v>96</v>
      </c>
      <c r="G35" s="23" t="s">
        <v>82</v>
      </c>
    </row>
    <row r="36" spans="1:7" ht="15.75" x14ac:dyDescent="0.25">
      <c r="A36" s="13" t="s">
        <v>83</v>
      </c>
      <c r="B36" s="13"/>
      <c r="C36" s="13"/>
      <c r="D36" s="13"/>
      <c r="E36" s="13"/>
      <c r="F36" s="13"/>
      <c r="G36" s="13"/>
    </row>
    <row r="37" spans="1:7" ht="15.75" x14ac:dyDescent="0.25">
      <c r="B37" s="13" t="s">
        <v>80</v>
      </c>
      <c r="C37" s="13">
        <v>113919.14</v>
      </c>
      <c r="D37" s="13">
        <v>-3718.1</v>
      </c>
      <c r="E37" s="13"/>
      <c r="F37" s="13"/>
      <c r="G37" s="13"/>
    </row>
    <row r="38" spans="1:7" ht="15.75" x14ac:dyDescent="0.25">
      <c r="B38" s="13" t="s">
        <v>84</v>
      </c>
      <c r="C38" s="13">
        <v>114218.49</v>
      </c>
      <c r="D38" s="13">
        <v>-3692.81</v>
      </c>
      <c r="E38" s="13"/>
      <c r="F38" s="24" t="s">
        <v>97</v>
      </c>
      <c r="G38" s="23" t="s">
        <v>86</v>
      </c>
    </row>
    <row r="39" spans="1:7" ht="15.75" x14ac:dyDescent="0.25">
      <c r="C39" s="13">
        <f>C37-C38</f>
        <v>-299.35000000000582</v>
      </c>
      <c r="D39" s="13">
        <f>D37-D38</f>
        <v>-25.289999999999964</v>
      </c>
      <c r="E39" s="13" t="s">
        <v>54</v>
      </c>
      <c r="F39" s="24" t="s">
        <v>97</v>
      </c>
      <c r="G39" s="23" t="s">
        <v>86</v>
      </c>
    </row>
    <row r="40" spans="1:7" ht="15.75" x14ac:dyDescent="0.25">
      <c r="A40" s="13" t="s">
        <v>87</v>
      </c>
    </row>
    <row r="41" spans="1:7" ht="15.75" x14ac:dyDescent="0.25">
      <c r="B41" s="13" t="s">
        <v>84</v>
      </c>
      <c r="C41" s="13">
        <v>114218.49</v>
      </c>
      <c r="D41" s="13">
        <v>-3692.81</v>
      </c>
    </row>
    <row r="42" spans="1:7" ht="15.75" x14ac:dyDescent="0.25">
      <c r="B42" s="13" t="s">
        <v>37</v>
      </c>
      <c r="C42" s="13">
        <v>114370.35</v>
      </c>
      <c r="D42" s="13">
        <v>-4182.37</v>
      </c>
      <c r="F42" s="24" t="s">
        <v>98</v>
      </c>
      <c r="G42" s="23" t="s">
        <v>53</v>
      </c>
    </row>
    <row r="43" spans="1:7" ht="15.75" x14ac:dyDescent="0.25">
      <c r="C43" s="13">
        <f>C41-C42</f>
        <v>-151.86000000000058</v>
      </c>
      <c r="D43" s="13">
        <f>D41-D42</f>
        <v>489.55999999999995</v>
      </c>
      <c r="E43" s="13" t="s">
        <v>54</v>
      </c>
      <c r="F43" s="24" t="s">
        <v>98</v>
      </c>
      <c r="G43" s="23" t="s">
        <v>53</v>
      </c>
    </row>
    <row r="47" spans="1:7" ht="15.75" x14ac:dyDescent="0.25">
      <c r="A47" s="13" t="s">
        <v>49</v>
      </c>
      <c r="D47" s="13" t="s">
        <v>37</v>
      </c>
      <c r="E47" s="17">
        <v>114370.35</v>
      </c>
      <c r="F47" s="17">
        <v>-4182.37</v>
      </c>
      <c r="G47" s="17" t="s">
        <v>124</v>
      </c>
    </row>
    <row r="48" spans="1:7" ht="15.75" x14ac:dyDescent="0.25">
      <c r="A48" s="23" t="s">
        <v>53</v>
      </c>
      <c r="B48" s="14">
        <v>-250.8</v>
      </c>
      <c r="C48" s="13">
        <v>808.48</v>
      </c>
      <c r="D48" s="13"/>
      <c r="E48" s="13"/>
      <c r="F48" s="13"/>
    </row>
    <row r="49" spans="1:6" ht="15.75" x14ac:dyDescent="0.25">
      <c r="A49" s="24">
        <v>846.49</v>
      </c>
      <c r="D49" s="13" t="s">
        <v>50</v>
      </c>
      <c r="E49" s="13">
        <v>114621.15</v>
      </c>
      <c r="F49" s="13">
        <v>-4990.8500000000004</v>
      </c>
    </row>
    <row r="51" spans="1:6" ht="15.75" x14ac:dyDescent="0.25">
      <c r="A51" s="13" t="s">
        <v>55</v>
      </c>
      <c r="D51" s="13" t="s">
        <v>50</v>
      </c>
      <c r="E51" s="13">
        <v>114621.15</v>
      </c>
      <c r="F51" s="13">
        <v>-4990.8500000000004</v>
      </c>
    </row>
    <row r="52" spans="1:6" ht="15.75" x14ac:dyDescent="0.25">
      <c r="A52" s="23" t="s">
        <v>58</v>
      </c>
      <c r="B52" s="13">
        <v>387.13999999999942</v>
      </c>
      <c r="C52" s="13">
        <v>-21.230000000000473</v>
      </c>
    </row>
    <row r="53" spans="1:6" ht="15.75" x14ac:dyDescent="0.25">
      <c r="A53" s="24">
        <v>381.71</v>
      </c>
      <c r="D53" s="13" t="s">
        <v>56</v>
      </c>
      <c r="E53" s="13">
        <v>114234.01</v>
      </c>
      <c r="F53" s="13">
        <v>-4969.62</v>
      </c>
    </row>
    <row r="55" spans="1:6" ht="15.75" x14ac:dyDescent="0.25">
      <c r="A55" s="13" t="s">
        <v>59</v>
      </c>
      <c r="D55" s="13" t="s">
        <v>56</v>
      </c>
      <c r="E55" s="13">
        <v>114234.01</v>
      </c>
      <c r="F55" s="13">
        <v>-4969.62</v>
      </c>
    </row>
    <row r="56" spans="1:6" ht="15.75" x14ac:dyDescent="0.25">
      <c r="A56" s="23" t="s">
        <v>62</v>
      </c>
      <c r="B56" s="13">
        <v>65.819999999992433</v>
      </c>
      <c r="C56" s="13">
        <v>-183.06999999999971</v>
      </c>
    </row>
    <row r="57" spans="1:6" ht="15.75" x14ac:dyDescent="0.25">
      <c r="A57" s="24">
        <v>194.54</v>
      </c>
      <c r="D57" s="13" t="s">
        <v>60</v>
      </c>
      <c r="E57" s="13">
        <v>114168.19</v>
      </c>
      <c r="F57" s="13">
        <v>-4786.55</v>
      </c>
    </row>
    <row r="59" spans="1:6" ht="15.75" x14ac:dyDescent="0.25">
      <c r="A59" s="13" t="s">
        <v>63</v>
      </c>
      <c r="D59" s="13" t="s">
        <v>60</v>
      </c>
      <c r="E59" s="13">
        <v>114168.19</v>
      </c>
      <c r="F59" s="13">
        <v>-4786.55</v>
      </c>
    </row>
    <row r="60" spans="1:6" ht="15.75" x14ac:dyDescent="0.25">
      <c r="A60" s="23" t="s">
        <v>66</v>
      </c>
      <c r="B60" s="13">
        <v>124.02999999999884</v>
      </c>
      <c r="C60" s="13">
        <v>-100.90999999999985</v>
      </c>
    </row>
    <row r="61" spans="1:6" ht="15.75" x14ac:dyDescent="0.25">
      <c r="A61" s="24">
        <v>159.96</v>
      </c>
      <c r="D61" s="13" t="s">
        <v>64</v>
      </c>
      <c r="E61" s="13">
        <v>114044.16</v>
      </c>
      <c r="F61" s="13">
        <v>-4685.6400000000003</v>
      </c>
    </row>
    <row r="63" spans="1:6" ht="15.75" x14ac:dyDescent="0.25">
      <c r="A63" s="13" t="s">
        <v>67</v>
      </c>
      <c r="D63" s="13" t="s">
        <v>64</v>
      </c>
      <c r="E63" s="13">
        <v>114044.16</v>
      </c>
      <c r="F63" s="13">
        <v>-4685.6400000000003</v>
      </c>
    </row>
    <row r="64" spans="1:6" ht="15.75" x14ac:dyDescent="0.25">
      <c r="A64" s="23" t="s">
        <v>70</v>
      </c>
      <c r="B64" s="13">
        <v>324.15000000000873</v>
      </c>
      <c r="C64" s="13">
        <v>-89.200000000000728</v>
      </c>
    </row>
    <row r="65" spans="1:6" ht="15.75" x14ac:dyDescent="0.25">
      <c r="A65" s="24">
        <v>336.17</v>
      </c>
      <c r="D65" s="13" t="s">
        <v>68</v>
      </c>
      <c r="E65" s="13">
        <v>113720.01</v>
      </c>
      <c r="F65" s="13">
        <v>-4596.4399999999996</v>
      </c>
    </row>
    <row r="67" spans="1:6" ht="15.75" x14ac:dyDescent="0.25">
      <c r="A67" s="13" t="s">
        <v>71</v>
      </c>
      <c r="D67" s="13" t="s">
        <v>68</v>
      </c>
      <c r="E67" s="13">
        <v>113720.01</v>
      </c>
      <c r="F67" s="13">
        <v>-4596.4399999999996</v>
      </c>
    </row>
    <row r="68" spans="1:6" ht="15.75" x14ac:dyDescent="0.25">
      <c r="A68" s="23" t="s">
        <v>74</v>
      </c>
      <c r="B68" s="13">
        <v>369.40999999998894</v>
      </c>
      <c r="C68" s="13">
        <v>-198.98999999999978</v>
      </c>
    </row>
    <row r="69" spans="1:6" ht="15.75" x14ac:dyDescent="0.25">
      <c r="A69" s="24">
        <v>419.6</v>
      </c>
      <c r="D69" s="13" t="s">
        <v>72</v>
      </c>
      <c r="E69" s="13">
        <v>113350.6</v>
      </c>
      <c r="F69" s="13">
        <v>-4397.45</v>
      </c>
    </row>
    <row r="71" spans="1:6" ht="15.75" x14ac:dyDescent="0.25">
      <c r="A71" s="13" t="s">
        <v>75</v>
      </c>
      <c r="D71" s="13" t="s">
        <v>72</v>
      </c>
      <c r="E71" s="13">
        <v>113350.6</v>
      </c>
      <c r="F71" s="13">
        <v>-4397.45</v>
      </c>
    </row>
    <row r="72" spans="1:6" ht="15.75" x14ac:dyDescent="0.25">
      <c r="A72" s="23" t="s">
        <v>78</v>
      </c>
      <c r="B72" s="13">
        <v>111.68000000000757</v>
      </c>
      <c r="C72" s="13">
        <v>-220</v>
      </c>
    </row>
    <row r="73" spans="1:6" ht="15.75" x14ac:dyDescent="0.25">
      <c r="A73" s="24">
        <v>246.72</v>
      </c>
      <c r="D73" s="13" t="s">
        <v>76</v>
      </c>
      <c r="E73" s="13">
        <v>113238.92</v>
      </c>
      <c r="F73" s="13">
        <v>-4177.45</v>
      </c>
    </row>
    <row r="75" spans="1:6" ht="15.75" x14ac:dyDescent="0.25">
      <c r="A75" s="13" t="s">
        <v>79</v>
      </c>
      <c r="D75" s="13" t="s">
        <v>76</v>
      </c>
      <c r="E75" s="13">
        <v>113238.92</v>
      </c>
      <c r="F75" s="13">
        <v>-4177.45</v>
      </c>
    </row>
    <row r="76" spans="1:6" ht="15.75" x14ac:dyDescent="0.25">
      <c r="A76" s="23" t="s">
        <v>82</v>
      </c>
      <c r="B76" s="13">
        <v>-680.22000000000116</v>
      </c>
      <c r="C76" s="13">
        <v>-459.34999999999991</v>
      </c>
    </row>
    <row r="77" spans="1:6" ht="15.75" x14ac:dyDescent="0.25">
      <c r="A77" s="24">
        <v>820.8</v>
      </c>
      <c r="D77" s="13" t="s">
        <v>80</v>
      </c>
      <c r="E77" s="13">
        <v>113919.14</v>
      </c>
      <c r="F77" s="13">
        <v>-3718.1</v>
      </c>
    </row>
    <row r="79" spans="1:6" ht="15.75" x14ac:dyDescent="0.25">
      <c r="A79" s="13" t="s">
        <v>83</v>
      </c>
      <c r="D79" s="13" t="s">
        <v>80</v>
      </c>
      <c r="E79" s="13">
        <v>113919.14</v>
      </c>
      <c r="F79" s="13">
        <v>-3718.1</v>
      </c>
    </row>
    <row r="80" spans="1:6" ht="15.75" x14ac:dyDescent="0.25">
      <c r="A80" s="23" t="s">
        <v>86</v>
      </c>
      <c r="B80" s="13">
        <v>-299.35000000000582</v>
      </c>
      <c r="C80" s="13">
        <v>-25.289999999999964</v>
      </c>
    </row>
    <row r="81" spans="1:6" ht="15.75" x14ac:dyDescent="0.25">
      <c r="A81" s="24">
        <v>300.41000000000003</v>
      </c>
      <c r="D81" s="13" t="s">
        <v>84</v>
      </c>
      <c r="E81" s="13">
        <v>114218.49</v>
      </c>
      <c r="F81" s="13">
        <v>-3692.81</v>
      </c>
    </row>
    <row r="83" spans="1:6" ht="15.75" x14ac:dyDescent="0.25">
      <c r="A83" s="13" t="s">
        <v>87</v>
      </c>
      <c r="D83" s="13" t="s">
        <v>84</v>
      </c>
      <c r="E83" s="13">
        <v>114218.49</v>
      </c>
      <c r="F83" s="13">
        <v>-3692.81</v>
      </c>
    </row>
    <row r="84" spans="1:6" ht="15.75" x14ac:dyDescent="0.25">
      <c r="A84" s="23" t="s">
        <v>53</v>
      </c>
      <c r="B84" s="13">
        <v>-151.86000000000058</v>
      </c>
      <c r="C84" s="13">
        <v>489.55999999999995</v>
      </c>
    </row>
    <row r="85" spans="1:6" ht="15.75" x14ac:dyDescent="0.25">
      <c r="A85" s="24">
        <v>512.57000000000005</v>
      </c>
      <c r="D85" s="13" t="s">
        <v>37</v>
      </c>
      <c r="E85" s="13">
        <v>114370.35</v>
      </c>
      <c r="F85" s="13">
        <v>-4182.37</v>
      </c>
    </row>
    <row r="86" spans="1:6" ht="15.75" x14ac:dyDescent="0.25">
      <c r="E86" s="14">
        <f>E87-E85</f>
        <v>0</v>
      </c>
      <c r="F86" s="14">
        <f>F87-F85</f>
        <v>0</v>
      </c>
    </row>
    <row r="87" spans="1:6" ht="15.75" x14ac:dyDescent="0.25">
      <c r="D87" s="17" t="s">
        <v>38</v>
      </c>
      <c r="E87" s="17">
        <v>114370.35</v>
      </c>
      <c r="F87" s="17">
        <v>-4182.37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099C0-4A7C-48F1-A8D7-77820855AF53}">
  <dimension ref="A1:G30"/>
  <sheetViews>
    <sheetView tabSelected="1" workbookViewId="0">
      <selection activeCell="I7" sqref="I7"/>
    </sheetView>
  </sheetViews>
  <sheetFormatPr defaultRowHeight="15.75" x14ac:dyDescent="0.25"/>
  <cols>
    <col min="1" max="1" width="15.7109375" style="9" customWidth="1"/>
    <col min="2" max="2" width="12.85546875" style="9" customWidth="1"/>
    <col min="3" max="3" width="9.140625" style="9"/>
    <col min="4" max="4" width="9.140625" style="13"/>
    <col min="5" max="5" width="13.28515625" style="9" customWidth="1"/>
    <col min="6" max="6" width="15.85546875" style="9" customWidth="1"/>
    <col min="7" max="16384" width="9.140625" style="13"/>
  </cols>
  <sheetData>
    <row r="1" spans="1:7" x14ac:dyDescent="0.25">
      <c r="C1" s="7" t="s">
        <v>6</v>
      </c>
    </row>
    <row r="2" spans="1:7" x14ac:dyDescent="0.25">
      <c r="A2" s="54" t="s">
        <v>7</v>
      </c>
      <c r="B2" s="9" t="s">
        <v>8</v>
      </c>
      <c r="C2" s="9" t="s">
        <v>9</v>
      </c>
      <c r="D2" s="13" t="s">
        <v>10</v>
      </c>
      <c r="E2" s="9" t="s">
        <v>11</v>
      </c>
      <c r="F2" s="9" t="s">
        <v>12</v>
      </c>
    </row>
    <row r="3" spans="1:7" x14ac:dyDescent="0.25">
      <c r="A3" s="9" t="s">
        <v>39</v>
      </c>
      <c r="B3" s="9">
        <v>30.28</v>
      </c>
      <c r="C3" s="9">
        <v>-97.61</v>
      </c>
      <c r="D3" s="17" t="s">
        <v>13</v>
      </c>
      <c r="E3" s="7">
        <v>114370.35</v>
      </c>
      <c r="F3" s="7">
        <v>-4182.37</v>
      </c>
      <c r="G3" s="17" t="s">
        <v>14</v>
      </c>
    </row>
    <row r="4" spans="1:7" x14ac:dyDescent="0.25">
      <c r="A4" s="15">
        <v>102.2</v>
      </c>
    </row>
    <row r="5" spans="1:7" x14ac:dyDescent="0.25">
      <c r="D5" s="13" t="s">
        <v>15</v>
      </c>
      <c r="E5" s="9">
        <f>E3+B3</f>
        <v>114400.63</v>
      </c>
      <c r="F5" s="9">
        <f>F3+C3</f>
        <v>-4279.9799999999996</v>
      </c>
    </row>
    <row r="6" spans="1:7" x14ac:dyDescent="0.25">
      <c r="A6" s="54" t="s">
        <v>16</v>
      </c>
    </row>
    <row r="7" spans="1:7" x14ac:dyDescent="0.25">
      <c r="A7" s="9" t="s">
        <v>39</v>
      </c>
      <c r="B7" s="9">
        <v>22.07</v>
      </c>
      <c r="C7" s="9">
        <v>-71.150000000000006</v>
      </c>
    </row>
    <row r="8" spans="1:7" x14ac:dyDescent="0.25">
      <c r="A8" s="15">
        <v>74.489999999999995</v>
      </c>
      <c r="D8" s="13" t="s">
        <v>17</v>
      </c>
      <c r="E8" s="15">
        <f>E5+B7</f>
        <v>114422.70000000001</v>
      </c>
      <c r="F8" s="9">
        <f>F5+C7</f>
        <v>-4351.1299999999992</v>
      </c>
    </row>
    <row r="10" spans="1:7" x14ac:dyDescent="0.25">
      <c r="A10" s="54" t="s">
        <v>18</v>
      </c>
    </row>
    <row r="11" spans="1:7" x14ac:dyDescent="0.25">
      <c r="A11" s="9" t="s">
        <v>39</v>
      </c>
      <c r="B11" s="9">
        <v>1.78</v>
      </c>
      <c r="C11" s="9">
        <v>-5.73</v>
      </c>
    </row>
    <row r="12" spans="1:7" x14ac:dyDescent="0.25">
      <c r="A12" s="15">
        <v>6</v>
      </c>
      <c r="D12" s="13" t="s">
        <v>19</v>
      </c>
      <c r="E12" s="9">
        <f>E8+B11</f>
        <v>114424.48000000001</v>
      </c>
      <c r="F12" s="9">
        <f>F8+C11</f>
        <v>-4356.8599999999988</v>
      </c>
    </row>
    <row r="14" spans="1:7" x14ac:dyDescent="0.25">
      <c r="A14" s="54" t="s">
        <v>20</v>
      </c>
    </row>
    <row r="15" spans="1:7" x14ac:dyDescent="0.25">
      <c r="A15" s="16" t="s">
        <v>21</v>
      </c>
      <c r="B15" s="9">
        <v>-5.97</v>
      </c>
      <c r="C15" s="9">
        <v>0.62</v>
      </c>
    </row>
    <row r="16" spans="1:7" x14ac:dyDescent="0.25">
      <c r="A16" s="15">
        <v>6</v>
      </c>
      <c r="D16" s="13" t="s">
        <v>22</v>
      </c>
      <c r="E16" s="9">
        <f>E12+B15</f>
        <v>114418.51000000001</v>
      </c>
      <c r="F16" s="9">
        <f>F12+C15</f>
        <v>-4356.2399999999989</v>
      </c>
    </row>
    <row r="18" spans="1:6" x14ac:dyDescent="0.25">
      <c r="A18" s="54" t="s">
        <v>23</v>
      </c>
    </row>
    <row r="19" spans="1:6" x14ac:dyDescent="0.25">
      <c r="A19" s="16" t="s">
        <v>21</v>
      </c>
      <c r="B19" s="9">
        <v>-227.57</v>
      </c>
      <c r="C19" s="9">
        <v>23.64</v>
      </c>
    </row>
    <row r="20" spans="1:6" x14ac:dyDescent="0.25">
      <c r="A20" s="15">
        <v>228.8</v>
      </c>
      <c r="D20" s="13" t="s">
        <v>24</v>
      </c>
      <c r="E20" s="9">
        <f>E16+B19</f>
        <v>114190.94</v>
      </c>
      <c r="F20" s="15">
        <f>F16+C19</f>
        <v>-4332.5999999999985</v>
      </c>
    </row>
    <row r="22" spans="1:6" x14ac:dyDescent="0.25">
      <c r="A22" s="54" t="s">
        <v>25</v>
      </c>
    </row>
    <row r="23" spans="1:6" x14ac:dyDescent="0.25">
      <c r="A23" s="16" t="s">
        <v>26</v>
      </c>
      <c r="B23" s="9">
        <v>7.64</v>
      </c>
      <c r="C23" s="9">
        <v>73.599999999999994</v>
      </c>
    </row>
    <row r="24" spans="1:6" x14ac:dyDescent="0.25">
      <c r="A24" s="15">
        <v>74</v>
      </c>
      <c r="D24" s="13" t="s">
        <v>27</v>
      </c>
      <c r="E24" s="9">
        <f>E20+B23</f>
        <v>114198.58</v>
      </c>
      <c r="F24" s="15">
        <f>F20+C23</f>
        <v>-4258.9999999999982</v>
      </c>
    </row>
    <row r="26" spans="1:6" x14ac:dyDescent="0.25">
      <c r="A26" s="54" t="s">
        <v>28</v>
      </c>
    </row>
    <row r="27" spans="1:6" x14ac:dyDescent="0.25">
      <c r="A27" s="16" t="s">
        <v>29</v>
      </c>
      <c r="B27" s="9">
        <v>202.05</v>
      </c>
      <c r="C27" s="9">
        <v>-20.99</v>
      </c>
    </row>
    <row r="28" spans="1:6" x14ac:dyDescent="0.25">
      <c r="A28" s="15">
        <v>203.14</v>
      </c>
      <c r="D28" s="13" t="s">
        <v>15</v>
      </c>
      <c r="E28" s="9">
        <f>E24+B27</f>
        <v>114400.63</v>
      </c>
      <c r="F28" s="9">
        <f>F24+C27</f>
        <v>-4279.989999999998</v>
      </c>
    </row>
    <row r="29" spans="1:6" x14ac:dyDescent="0.25">
      <c r="E29" s="15">
        <f>E30-E28</f>
        <v>0</v>
      </c>
      <c r="F29" s="15">
        <f>F30-F28</f>
        <v>9.9999999983992893E-3</v>
      </c>
    </row>
    <row r="30" spans="1:6" x14ac:dyDescent="0.25">
      <c r="D30" s="17" t="s">
        <v>30</v>
      </c>
      <c r="E30" s="7">
        <v>114400.63</v>
      </c>
      <c r="F30" s="7">
        <v>-4279.9799999999996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EC826-E232-4E55-8342-40140CC5ACEB}">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A0812-700B-4A1B-80A0-0D0F98084716}">
  <dimension ref="A1:M108"/>
  <sheetViews>
    <sheetView zoomScale="106" zoomScaleNormal="106" workbookViewId="0">
      <selection activeCell="C26" sqref="C26"/>
    </sheetView>
  </sheetViews>
  <sheetFormatPr defaultRowHeight="15" x14ac:dyDescent="0.25"/>
  <cols>
    <col min="1" max="1" width="17.85546875" bestFit="1" customWidth="1"/>
    <col min="2" max="2" width="12.140625" bestFit="1" customWidth="1"/>
    <col min="3" max="3" width="10" bestFit="1" customWidth="1"/>
    <col min="4" max="4" width="10.85546875" bestFit="1" customWidth="1"/>
    <col min="5" max="5" width="12.140625" bestFit="1" customWidth="1"/>
    <col min="6" max="6" width="10" bestFit="1" customWidth="1"/>
  </cols>
  <sheetData>
    <row r="1" spans="1:13" ht="15.75" x14ac:dyDescent="0.25">
      <c r="C1" s="4" t="s">
        <v>3</v>
      </c>
    </row>
    <row r="3" spans="1:13" ht="15.75" x14ac:dyDescent="0.25">
      <c r="A3" s="9" t="s">
        <v>31</v>
      </c>
      <c r="B3" s="10" t="s">
        <v>32</v>
      </c>
      <c r="C3" s="11" t="s">
        <v>33</v>
      </c>
      <c r="D3" s="9" t="s">
        <v>10</v>
      </c>
      <c r="E3" s="9" t="s">
        <v>34</v>
      </c>
      <c r="F3" s="9" t="s">
        <v>35</v>
      </c>
    </row>
    <row r="4" spans="1:13" ht="15.75" x14ac:dyDescent="0.25">
      <c r="A4" s="20" t="s">
        <v>36</v>
      </c>
      <c r="D4" s="22" t="s">
        <v>37</v>
      </c>
      <c r="E4" s="18">
        <v>114370.35</v>
      </c>
      <c r="F4" s="18">
        <v>-4182.37</v>
      </c>
      <c r="G4" s="13"/>
      <c r="H4" s="13"/>
      <c r="I4" s="13"/>
      <c r="J4" s="13"/>
      <c r="K4" s="13"/>
      <c r="L4" s="13"/>
      <c r="M4" s="13"/>
    </row>
    <row r="5" spans="1:13" ht="15.75" x14ac:dyDescent="0.25">
      <c r="A5" s="9" t="s">
        <v>39</v>
      </c>
      <c r="B5" s="13">
        <v>30.28</v>
      </c>
      <c r="C5" s="14">
        <v>-97.614999999999995</v>
      </c>
      <c r="D5" s="21" t="s">
        <v>15</v>
      </c>
      <c r="E5" s="14">
        <v>114400.644</v>
      </c>
      <c r="F5" s="14">
        <v>-4279.9849999999997</v>
      </c>
      <c r="G5" s="13"/>
      <c r="H5" s="13"/>
      <c r="I5" s="13"/>
      <c r="J5" s="13"/>
      <c r="K5" s="13"/>
      <c r="L5" s="13"/>
      <c r="M5" s="13"/>
    </row>
    <row r="6" spans="1:13" ht="15.75" x14ac:dyDescent="0.25">
      <c r="A6" s="15">
        <v>102.2</v>
      </c>
      <c r="B6" s="13"/>
      <c r="C6" s="13"/>
      <c r="D6" s="13"/>
      <c r="E6" s="14">
        <f>E7-E5</f>
        <v>-1.3999999995576218E-2</v>
      </c>
      <c r="F6" s="14">
        <f>F7-F5</f>
        <v>-5.0000000001091394E-3</v>
      </c>
      <c r="G6" s="13"/>
      <c r="H6" s="13"/>
      <c r="I6" s="13"/>
      <c r="J6" s="13"/>
      <c r="K6" s="13"/>
      <c r="L6" s="13"/>
      <c r="M6" s="13"/>
    </row>
    <row r="7" spans="1:13" ht="15.75" x14ac:dyDescent="0.25">
      <c r="A7" s="13"/>
      <c r="B7" s="13"/>
      <c r="C7" s="13"/>
      <c r="D7" s="17" t="s">
        <v>38</v>
      </c>
      <c r="E7" s="19">
        <v>114400.63</v>
      </c>
      <c r="F7" s="19">
        <v>-4279.99</v>
      </c>
      <c r="G7" s="13"/>
      <c r="H7" s="13"/>
      <c r="I7" s="13"/>
      <c r="J7" s="13"/>
      <c r="K7" s="13"/>
      <c r="L7" s="13"/>
      <c r="M7" s="13"/>
    </row>
    <row r="8" spans="1:13" ht="15.75" x14ac:dyDescent="0.25">
      <c r="A8" s="13"/>
      <c r="B8" s="13"/>
      <c r="C8" s="13"/>
      <c r="D8" s="13"/>
      <c r="E8" s="14"/>
      <c r="F8" s="14"/>
      <c r="G8" s="13"/>
      <c r="H8" s="13"/>
      <c r="I8" s="13"/>
      <c r="J8" s="13"/>
      <c r="K8" s="13"/>
      <c r="L8" s="13"/>
      <c r="M8" s="13"/>
    </row>
    <row r="9" spans="1:13" ht="15.75" x14ac:dyDescent="0.25">
      <c r="A9" s="20" t="s">
        <v>40</v>
      </c>
      <c r="B9" s="13"/>
      <c r="C9" s="13"/>
      <c r="D9" s="21" t="s">
        <v>15</v>
      </c>
      <c r="E9" s="15">
        <v>114400.63</v>
      </c>
      <c r="F9" s="15">
        <v>-4279.99</v>
      </c>
      <c r="G9" s="13"/>
      <c r="H9" s="13"/>
      <c r="I9" s="13"/>
      <c r="J9" s="13"/>
      <c r="K9" s="13"/>
      <c r="L9" s="13"/>
      <c r="M9" s="13"/>
    </row>
    <row r="10" spans="1:13" ht="15.75" x14ac:dyDescent="0.25">
      <c r="A10" s="9" t="s">
        <v>39</v>
      </c>
      <c r="B10" s="13">
        <v>22.06</v>
      </c>
      <c r="C10" s="13">
        <v>-71.14</v>
      </c>
      <c r="D10" s="21" t="s">
        <v>17</v>
      </c>
      <c r="E10" s="14">
        <v>114422.69100000001</v>
      </c>
      <c r="F10" s="14">
        <v>-4351.125</v>
      </c>
      <c r="G10" s="13"/>
      <c r="H10" s="13"/>
      <c r="I10" s="13"/>
      <c r="J10" s="13"/>
      <c r="K10" s="21"/>
      <c r="L10" s="13"/>
      <c r="M10" s="13"/>
    </row>
    <row r="11" spans="1:13" ht="15.75" x14ac:dyDescent="0.25">
      <c r="A11" s="15">
        <v>74.489999999999995</v>
      </c>
      <c r="B11" s="13"/>
      <c r="C11" s="13"/>
      <c r="D11" s="13"/>
      <c r="E11" s="14">
        <f>E12-E10</f>
        <v>8.9999999909196049E-3</v>
      </c>
      <c r="F11" s="14">
        <f>F12-F10</f>
        <v>-5.0000000001091394E-3</v>
      </c>
      <c r="G11" s="13"/>
      <c r="H11" s="13"/>
      <c r="I11" s="13"/>
      <c r="J11" s="13"/>
      <c r="K11" s="13"/>
      <c r="L11" s="13"/>
      <c r="M11" s="13"/>
    </row>
    <row r="12" spans="1:13" ht="15.75" x14ac:dyDescent="0.25">
      <c r="A12" s="13"/>
      <c r="B12" s="13"/>
      <c r="C12" s="13"/>
      <c r="D12" s="17" t="s">
        <v>38</v>
      </c>
      <c r="E12" s="18">
        <v>114422.7</v>
      </c>
      <c r="F12" s="18">
        <v>-4351.13</v>
      </c>
      <c r="G12" s="13"/>
      <c r="H12" s="13"/>
      <c r="I12" s="13"/>
      <c r="J12" s="13"/>
      <c r="K12" s="13"/>
      <c r="L12" s="13"/>
      <c r="M12" s="13"/>
    </row>
    <row r="13" spans="1:13" ht="15.75" x14ac:dyDescent="0.25">
      <c r="A13" s="13"/>
      <c r="B13" s="13"/>
      <c r="C13" s="13"/>
      <c r="D13" s="13"/>
      <c r="E13" s="14"/>
      <c r="F13" s="14"/>
      <c r="G13" s="13"/>
      <c r="H13" s="13"/>
      <c r="I13" s="13"/>
      <c r="J13" s="13"/>
      <c r="K13" s="13"/>
      <c r="L13" s="13"/>
      <c r="M13" s="13"/>
    </row>
    <row r="14" spans="1:13" ht="15.75" x14ac:dyDescent="0.25">
      <c r="A14" s="20" t="s">
        <v>42</v>
      </c>
      <c r="B14" s="13"/>
      <c r="C14" s="13"/>
      <c r="D14" s="21" t="s">
        <v>17</v>
      </c>
      <c r="E14" s="14">
        <v>114422.7</v>
      </c>
      <c r="F14" s="14">
        <v>-4351.13</v>
      </c>
      <c r="G14" s="13"/>
      <c r="H14" s="13"/>
      <c r="I14" s="13"/>
      <c r="J14" s="13"/>
      <c r="K14" s="13"/>
      <c r="L14" s="13"/>
      <c r="M14" s="13"/>
    </row>
    <row r="15" spans="1:13" ht="15.75" x14ac:dyDescent="0.25">
      <c r="A15" s="9" t="s">
        <v>39</v>
      </c>
      <c r="B15" s="13">
        <v>1.78</v>
      </c>
      <c r="C15" s="13">
        <v>-5.72</v>
      </c>
      <c r="D15" s="21" t="s">
        <v>19</v>
      </c>
      <c r="E15" s="14">
        <v>114424.476</v>
      </c>
      <c r="F15" s="14">
        <v>-4356.8459999999995</v>
      </c>
      <c r="G15" s="13"/>
      <c r="H15" s="13"/>
      <c r="I15" s="13"/>
      <c r="J15" s="13"/>
      <c r="K15" s="13"/>
      <c r="L15" s="13"/>
      <c r="M15" s="13"/>
    </row>
    <row r="16" spans="1:13" ht="15.75" x14ac:dyDescent="0.25">
      <c r="A16" s="15">
        <v>6</v>
      </c>
      <c r="B16" s="13"/>
      <c r="C16" s="13"/>
      <c r="D16" s="13"/>
      <c r="E16" s="14">
        <f>E17-E15</f>
        <v>4.0000000008149073E-3</v>
      </c>
      <c r="F16" s="14">
        <f>F17-F15</f>
        <v>-1.4000000000123691E-2</v>
      </c>
      <c r="G16" s="13"/>
      <c r="H16" s="13"/>
      <c r="I16" s="13"/>
      <c r="J16" s="13"/>
      <c r="K16" s="13"/>
      <c r="L16" s="13"/>
      <c r="M16" s="13"/>
    </row>
    <row r="17" spans="1:13" ht="15.75" x14ac:dyDescent="0.25">
      <c r="A17" s="13"/>
      <c r="B17" s="13"/>
      <c r="C17" s="13"/>
      <c r="D17" s="17" t="s">
        <v>38</v>
      </c>
      <c r="E17" s="18">
        <v>114424.48</v>
      </c>
      <c r="F17" s="18">
        <v>-4356.8599999999997</v>
      </c>
      <c r="G17" s="13"/>
      <c r="H17" s="13"/>
      <c r="I17" s="13"/>
      <c r="J17" s="13"/>
      <c r="K17" s="13"/>
      <c r="L17" s="13"/>
      <c r="M17" s="13"/>
    </row>
    <row r="18" spans="1:13" ht="15.75" x14ac:dyDescent="0.25">
      <c r="A18" s="13"/>
      <c r="B18" s="13"/>
      <c r="C18" s="13"/>
      <c r="D18" s="13"/>
      <c r="E18" s="14"/>
      <c r="F18" s="14"/>
      <c r="G18" s="13"/>
      <c r="H18" s="13"/>
      <c r="I18" s="13"/>
      <c r="J18" s="13"/>
      <c r="K18" s="13"/>
      <c r="L18" s="13"/>
      <c r="M18" s="13"/>
    </row>
    <row r="19" spans="1:13" ht="15.75" x14ac:dyDescent="0.25">
      <c r="A19" s="20" t="s">
        <v>41</v>
      </c>
      <c r="B19" s="13"/>
      <c r="C19" s="13"/>
      <c r="D19" s="21" t="s">
        <v>19</v>
      </c>
      <c r="E19" s="14">
        <v>114424.48</v>
      </c>
      <c r="F19" s="14">
        <v>-4356.8599999999997</v>
      </c>
      <c r="G19" s="13"/>
      <c r="H19" s="13"/>
      <c r="I19" s="13"/>
      <c r="J19" s="13"/>
      <c r="K19" s="13"/>
      <c r="L19" s="13"/>
      <c r="M19" s="13"/>
    </row>
    <row r="20" spans="1:13" ht="15.75" x14ac:dyDescent="0.25">
      <c r="A20" s="16" t="s">
        <v>21</v>
      </c>
      <c r="B20" s="13">
        <v>-5.98</v>
      </c>
      <c r="C20" s="13">
        <v>0.61</v>
      </c>
      <c r="D20" s="21" t="s">
        <v>22</v>
      </c>
      <c r="E20" s="14">
        <v>114418.504</v>
      </c>
      <c r="F20" s="14">
        <v>-4356.2489999999998</v>
      </c>
      <c r="G20" s="13"/>
      <c r="H20" s="13"/>
      <c r="I20" s="13"/>
      <c r="J20" s="13"/>
      <c r="K20" s="13"/>
      <c r="L20" s="13"/>
      <c r="M20" s="13"/>
    </row>
    <row r="21" spans="1:13" ht="15.75" x14ac:dyDescent="0.25">
      <c r="A21" s="15">
        <v>6</v>
      </c>
      <c r="B21" s="13"/>
      <c r="C21" s="13"/>
      <c r="D21" s="13"/>
      <c r="E21" s="14">
        <f>E22-E20</f>
        <v>5.9999999939464033E-3</v>
      </c>
      <c r="F21" s="14">
        <f>F22-F20</f>
        <v>9.0000000000145519E-3</v>
      </c>
      <c r="G21" s="13"/>
      <c r="H21" s="13"/>
      <c r="I21" s="13"/>
      <c r="J21" s="13"/>
      <c r="K21" s="13"/>
      <c r="L21" s="13"/>
      <c r="M21" s="13"/>
    </row>
    <row r="22" spans="1:13" ht="15.75" x14ac:dyDescent="0.25">
      <c r="A22" s="13"/>
      <c r="B22" s="13"/>
      <c r="C22" s="13"/>
      <c r="D22" s="17" t="s">
        <v>43</v>
      </c>
      <c r="E22" s="18">
        <v>114418.51</v>
      </c>
      <c r="F22" s="18">
        <v>-4356.24</v>
      </c>
      <c r="G22" s="13"/>
      <c r="H22" s="13"/>
      <c r="I22" s="13"/>
      <c r="J22" s="13"/>
      <c r="K22" s="13"/>
      <c r="L22" s="13"/>
      <c r="M22" s="13"/>
    </row>
    <row r="23" spans="1:13" ht="15.75" x14ac:dyDescent="0.25">
      <c r="A23" s="13"/>
      <c r="B23" s="13"/>
      <c r="C23" s="13"/>
      <c r="D23" s="13"/>
      <c r="E23" s="14"/>
      <c r="F23" s="14"/>
      <c r="G23" s="13"/>
      <c r="H23" s="13"/>
      <c r="I23" s="13"/>
      <c r="J23" s="13"/>
      <c r="K23" s="13"/>
      <c r="L23" s="13"/>
      <c r="M23" s="13"/>
    </row>
    <row r="24" spans="1:13" ht="15.75" x14ac:dyDescent="0.25">
      <c r="A24" s="20" t="s">
        <v>44</v>
      </c>
      <c r="B24" s="13"/>
      <c r="C24" s="13"/>
      <c r="D24" s="21" t="s">
        <v>22</v>
      </c>
      <c r="E24" s="14">
        <v>114418.51</v>
      </c>
      <c r="F24" s="14">
        <v>-4356.24</v>
      </c>
      <c r="G24" s="13"/>
      <c r="H24" s="13"/>
      <c r="I24" s="13"/>
      <c r="J24" s="13"/>
      <c r="K24" s="13"/>
      <c r="L24" s="13"/>
      <c r="M24" s="13"/>
    </row>
    <row r="25" spans="1:13" ht="15.75" x14ac:dyDescent="0.25">
      <c r="A25" s="16" t="s">
        <v>21</v>
      </c>
      <c r="B25" s="13">
        <v>-227.57</v>
      </c>
      <c r="C25" s="13">
        <v>23.64</v>
      </c>
      <c r="D25" s="21" t="s">
        <v>24</v>
      </c>
      <c r="E25" s="14">
        <v>114190.92</v>
      </c>
      <c r="F25" s="14">
        <v>-4332.5829999999996</v>
      </c>
      <c r="G25" s="13"/>
      <c r="H25" s="13"/>
      <c r="I25" s="13"/>
      <c r="J25" s="13"/>
      <c r="K25" s="13"/>
      <c r="L25" s="13"/>
      <c r="M25" s="13"/>
    </row>
    <row r="26" spans="1:13" ht="15.75" x14ac:dyDescent="0.25">
      <c r="A26" s="15">
        <v>228.8</v>
      </c>
      <c r="B26" s="13"/>
      <c r="C26" s="13"/>
      <c r="D26" s="13"/>
      <c r="E26" s="14">
        <f>E27-E25</f>
        <v>2.0000000004074536E-2</v>
      </c>
      <c r="F26" s="14">
        <f>F27-F25</f>
        <v>-1.7000000000734872E-2</v>
      </c>
      <c r="G26" s="13"/>
      <c r="H26" s="13"/>
      <c r="I26" s="13"/>
      <c r="J26" s="13"/>
      <c r="K26" s="13"/>
      <c r="L26" s="13"/>
      <c r="M26" s="13"/>
    </row>
    <row r="27" spans="1:13" ht="15.75" x14ac:dyDescent="0.25">
      <c r="A27" s="13"/>
      <c r="B27" s="13"/>
      <c r="C27" s="13"/>
      <c r="D27" s="17" t="s">
        <v>38</v>
      </c>
      <c r="E27" s="18">
        <v>114190.94</v>
      </c>
      <c r="F27" s="18">
        <v>-4332.6000000000004</v>
      </c>
      <c r="G27" s="13"/>
      <c r="H27" s="13"/>
      <c r="I27" s="13"/>
      <c r="J27" s="13"/>
      <c r="K27" s="13"/>
      <c r="L27" s="13"/>
      <c r="M27" s="13"/>
    </row>
    <row r="28" spans="1:13" ht="15.75" x14ac:dyDescent="0.25">
      <c r="A28" s="13"/>
      <c r="B28" s="13"/>
      <c r="C28" s="13"/>
      <c r="D28" s="13"/>
      <c r="E28" s="14"/>
      <c r="F28" s="14"/>
      <c r="G28" s="13"/>
      <c r="H28" s="13"/>
      <c r="I28" s="13"/>
      <c r="J28" s="13"/>
      <c r="K28" s="13"/>
      <c r="L28" s="13"/>
      <c r="M28" s="13"/>
    </row>
    <row r="29" spans="1:13" ht="15.75" x14ac:dyDescent="0.25">
      <c r="A29" s="20" t="s">
        <v>45</v>
      </c>
      <c r="B29" s="13"/>
      <c r="C29" s="13"/>
      <c r="D29" s="21" t="s">
        <v>24</v>
      </c>
      <c r="E29" s="14">
        <v>114190.94</v>
      </c>
      <c r="F29" s="14">
        <v>-4332.6000000000004</v>
      </c>
      <c r="G29" s="13"/>
      <c r="H29" s="13"/>
      <c r="I29" s="13"/>
      <c r="J29" s="13"/>
      <c r="K29" s="13"/>
      <c r="L29" s="13"/>
      <c r="M29" s="13"/>
    </row>
    <row r="30" spans="1:13" ht="15.75" x14ac:dyDescent="0.25">
      <c r="A30" s="16" t="s">
        <v>26</v>
      </c>
      <c r="B30" s="13">
        <v>7.66</v>
      </c>
      <c r="C30" s="13">
        <v>73.599999999999994</v>
      </c>
      <c r="D30" s="21" t="s">
        <v>27</v>
      </c>
      <c r="E30" s="14">
        <v>114198.595</v>
      </c>
      <c r="F30" s="14">
        <v>-4258.9949999999999</v>
      </c>
      <c r="G30" s="13"/>
      <c r="H30" s="13"/>
      <c r="I30" s="13"/>
      <c r="J30" s="13"/>
      <c r="K30" s="13"/>
      <c r="L30" s="13"/>
      <c r="M30" s="13"/>
    </row>
    <row r="31" spans="1:13" ht="15.75" x14ac:dyDescent="0.25">
      <c r="A31" s="15">
        <v>74</v>
      </c>
      <c r="B31" s="13"/>
      <c r="C31" s="13"/>
      <c r="D31" s="21"/>
      <c r="E31" s="14">
        <f>E32-E30</f>
        <v>-1.4999999999417923E-2</v>
      </c>
      <c r="F31" s="14">
        <f>F32-F30</f>
        <v>-5.0000000001091394E-3</v>
      </c>
      <c r="G31" s="13"/>
      <c r="H31" s="13"/>
      <c r="I31" s="13"/>
      <c r="J31" s="13"/>
      <c r="K31" s="13"/>
      <c r="L31" s="13"/>
      <c r="M31" s="13"/>
    </row>
    <row r="32" spans="1:13" ht="15.75" x14ac:dyDescent="0.25">
      <c r="A32" s="13"/>
      <c r="B32" s="13"/>
      <c r="C32" s="13"/>
      <c r="D32" s="17" t="s">
        <v>38</v>
      </c>
      <c r="E32" s="18">
        <v>114198.58</v>
      </c>
      <c r="F32" s="18">
        <v>-4259</v>
      </c>
      <c r="G32" s="13"/>
      <c r="H32" s="13"/>
      <c r="I32" s="13"/>
      <c r="J32" s="13"/>
      <c r="K32" s="13"/>
      <c r="L32" s="13"/>
      <c r="M32" s="13"/>
    </row>
    <row r="33" spans="1:13" ht="15.75" x14ac:dyDescent="0.25">
      <c r="A33" s="13"/>
      <c r="B33" s="13"/>
      <c r="C33" s="13"/>
      <c r="D33" s="13"/>
      <c r="E33" s="14"/>
      <c r="F33" s="14"/>
      <c r="G33" s="13"/>
      <c r="H33" s="13"/>
      <c r="I33" s="13"/>
      <c r="J33" s="13"/>
      <c r="K33" s="13"/>
      <c r="L33" s="13"/>
      <c r="M33" s="13"/>
    </row>
    <row r="34" spans="1:13" ht="15.75" x14ac:dyDescent="0.25">
      <c r="A34" s="20" t="s">
        <v>46</v>
      </c>
      <c r="B34" s="13"/>
      <c r="C34" s="13"/>
      <c r="D34" s="21" t="s">
        <v>27</v>
      </c>
      <c r="E34" s="14">
        <v>114198.58</v>
      </c>
      <c r="F34" s="14">
        <v>-4259</v>
      </c>
      <c r="G34" s="13"/>
      <c r="H34" s="13"/>
      <c r="I34" s="13"/>
      <c r="J34" s="13"/>
      <c r="K34" s="13"/>
      <c r="L34" s="13"/>
      <c r="M34" s="13"/>
    </row>
    <row r="35" spans="1:13" ht="15.75" x14ac:dyDescent="0.25">
      <c r="A35" s="16" t="s">
        <v>29</v>
      </c>
      <c r="B35" s="13">
        <v>202.06</v>
      </c>
      <c r="C35" s="13">
        <v>-20.99</v>
      </c>
      <c r="D35" s="21" t="s">
        <v>15</v>
      </c>
      <c r="E35" s="14">
        <v>114400.644</v>
      </c>
      <c r="F35" s="14">
        <v>-4279.9849999999997</v>
      </c>
      <c r="G35" s="13"/>
      <c r="H35" s="13"/>
      <c r="I35" s="13"/>
      <c r="J35" s="13"/>
      <c r="K35" s="13"/>
      <c r="L35" s="13"/>
      <c r="M35" s="13"/>
    </row>
    <row r="36" spans="1:13" ht="15.75" x14ac:dyDescent="0.25">
      <c r="A36" s="15">
        <v>203.14</v>
      </c>
      <c r="B36" s="13"/>
      <c r="C36" s="13"/>
      <c r="D36" s="13"/>
      <c r="E36" s="14">
        <f>E37-E35</f>
        <v>-1.3999999995576218E-2</v>
      </c>
      <c r="F36" s="14">
        <f>F37-F35</f>
        <v>5.0000000001091394E-3</v>
      </c>
      <c r="G36" s="13"/>
      <c r="H36" s="13"/>
      <c r="I36" s="13"/>
      <c r="J36" s="13"/>
      <c r="K36" s="13"/>
      <c r="L36" s="13"/>
      <c r="M36" s="13"/>
    </row>
    <row r="37" spans="1:13" ht="15.75" x14ac:dyDescent="0.25">
      <c r="A37" s="13"/>
      <c r="B37" s="13"/>
      <c r="C37" s="13"/>
      <c r="D37" s="17" t="s">
        <v>38</v>
      </c>
      <c r="E37" s="18">
        <v>114400.63</v>
      </c>
      <c r="F37" s="18">
        <v>-4279.9799999999996</v>
      </c>
      <c r="G37" s="13"/>
      <c r="H37" s="13"/>
      <c r="I37" s="13"/>
      <c r="J37" s="13"/>
      <c r="K37" s="13"/>
      <c r="L37" s="13"/>
      <c r="M37" s="13"/>
    </row>
    <row r="38" spans="1:13" ht="15.75" x14ac:dyDescent="0.25">
      <c r="A38" s="13"/>
      <c r="B38" s="13"/>
      <c r="C38" s="13"/>
      <c r="D38" s="13"/>
      <c r="E38" s="13"/>
      <c r="F38" s="13"/>
      <c r="G38" s="13"/>
      <c r="H38" s="13"/>
      <c r="I38" s="13"/>
      <c r="J38" s="13"/>
      <c r="K38" s="13"/>
      <c r="L38" s="13"/>
      <c r="M38" s="13"/>
    </row>
    <row r="39" spans="1:13" ht="15.75" x14ac:dyDescent="0.25">
      <c r="A39" s="13"/>
      <c r="B39" s="13"/>
      <c r="C39" s="13"/>
      <c r="D39" s="13"/>
      <c r="E39" s="13"/>
      <c r="F39" s="13"/>
      <c r="G39" s="13"/>
      <c r="H39" s="13"/>
      <c r="I39" s="13"/>
      <c r="J39" s="13"/>
      <c r="K39" s="13"/>
      <c r="L39" s="13"/>
      <c r="M39" s="13"/>
    </row>
    <row r="40" spans="1:13" ht="15.75" x14ac:dyDescent="0.25">
      <c r="A40" s="13"/>
      <c r="B40" s="13"/>
      <c r="C40" s="13"/>
      <c r="D40" s="13"/>
      <c r="E40" s="13"/>
      <c r="F40" s="13"/>
      <c r="G40" s="13"/>
      <c r="H40" s="13"/>
      <c r="I40" s="13"/>
      <c r="J40" s="13"/>
      <c r="K40" s="13"/>
      <c r="L40" s="13"/>
      <c r="M40" s="13"/>
    </row>
    <row r="41" spans="1:13" ht="15.75" x14ac:dyDescent="0.25">
      <c r="A41" s="13"/>
      <c r="B41" s="13"/>
      <c r="C41" s="13"/>
      <c r="D41" s="13"/>
      <c r="E41" s="13"/>
      <c r="F41" s="13"/>
      <c r="G41" s="13"/>
      <c r="H41" s="13"/>
      <c r="I41" s="13"/>
      <c r="J41" s="13"/>
      <c r="K41" s="13"/>
      <c r="L41" s="13"/>
      <c r="M41" s="13"/>
    </row>
    <row r="42" spans="1:13" ht="15.75" x14ac:dyDescent="0.25">
      <c r="A42" s="13"/>
      <c r="B42" s="13"/>
      <c r="C42" s="13"/>
      <c r="D42" s="13"/>
      <c r="E42" s="13"/>
      <c r="F42" s="13"/>
      <c r="G42" s="13"/>
      <c r="H42" s="13"/>
      <c r="I42" s="13"/>
      <c r="J42" s="13"/>
      <c r="K42" s="13"/>
      <c r="L42" s="13"/>
      <c r="M42" s="13"/>
    </row>
    <row r="43" spans="1:13" ht="15.75" x14ac:dyDescent="0.25">
      <c r="A43" s="13"/>
      <c r="B43" s="13"/>
      <c r="C43" s="13"/>
      <c r="D43" s="13"/>
      <c r="E43" s="13"/>
      <c r="F43" s="13"/>
      <c r="G43" s="13"/>
      <c r="H43" s="13"/>
      <c r="I43" s="13"/>
      <c r="J43" s="13"/>
      <c r="K43" s="13"/>
      <c r="L43" s="13"/>
      <c r="M43" s="13"/>
    </row>
    <row r="44" spans="1:13" ht="15.75" x14ac:dyDescent="0.25">
      <c r="A44" s="13"/>
      <c r="B44" s="13"/>
      <c r="C44" s="13"/>
      <c r="D44" s="13"/>
      <c r="E44" s="13"/>
      <c r="F44" s="13"/>
      <c r="G44" s="13"/>
      <c r="H44" s="13"/>
      <c r="I44" s="13"/>
      <c r="J44" s="13"/>
      <c r="K44" s="13"/>
      <c r="L44" s="13"/>
      <c r="M44" s="13"/>
    </row>
    <row r="45" spans="1:13" ht="15.75" x14ac:dyDescent="0.25">
      <c r="A45" s="13"/>
      <c r="B45" s="13"/>
      <c r="C45" s="13"/>
      <c r="D45" s="13"/>
      <c r="E45" s="13"/>
      <c r="F45" s="13"/>
      <c r="G45" s="13"/>
      <c r="H45" s="13"/>
      <c r="I45" s="13"/>
      <c r="J45" s="13"/>
      <c r="K45" s="13"/>
      <c r="L45" s="13"/>
      <c r="M45" s="13"/>
    </row>
    <row r="46" spans="1:13" ht="15.75" x14ac:dyDescent="0.25">
      <c r="A46" s="13"/>
      <c r="B46" s="13"/>
      <c r="C46" s="13"/>
      <c r="D46" s="13"/>
      <c r="E46" s="13"/>
      <c r="F46" s="13"/>
      <c r="G46" s="13"/>
      <c r="H46" s="13"/>
      <c r="I46" s="13"/>
      <c r="J46" s="13"/>
      <c r="K46" s="13"/>
      <c r="L46" s="13"/>
      <c r="M46" s="13"/>
    </row>
    <row r="47" spans="1:13" ht="15.75" x14ac:dyDescent="0.25">
      <c r="A47" s="13"/>
      <c r="B47" s="13"/>
      <c r="C47" s="13"/>
      <c r="D47" s="13"/>
      <c r="E47" s="13"/>
      <c r="F47" s="13"/>
      <c r="G47" s="13"/>
      <c r="H47" s="13"/>
      <c r="I47" s="13"/>
      <c r="J47" s="13"/>
      <c r="K47" s="13"/>
      <c r="L47" s="13"/>
      <c r="M47" s="13"/>
    </row>
    <row r="48" spans="1:13" ht="15.75" x14ac:dyDescent="0.25">
      <c r="A48" s="13"/>
      <c r="B48" s="13"/>
      <c r="C48" s="13"/>
      <c r="D48" s="13"/>
      <c r="E48" s="13"/>
      <c r="F48" s="13"/>
      <c r="G48" s="13"/>
      <c r="H48" s="13"/>
      <c r="I48" s="13"/>
      <c r="J48" s="13"/>
      <c r="K48" s="13"/>
      <c r="L48" s="13"/>
      <c r="M48" s="13"/>
    </row>
    <row r="49" spans="1:13" ht="15.75" x14ac:dyDescent="0.25">
      <c r="A49" s="13"/>
      <c r="B49" s="13"/>
      <c r="C49" s="13"/>
      <c r="D49" s="13"/>
      <c r="E49" s="13"/>
      <c r="F49" s="13"/>
      <c r="G49" s="13"/>
      <c r="H49" s="13"/>
      <c r="I49" s="13"/>
      <c r="J49" s="13"/>
      <c r="K49" s="13"/>
      <c r="L49" s="13"/>
      <c r="M49" s="13"/>
    </row>
    <row r="50" spans="1:13" ht="15.75" x14ac:dyDescent="0.25">
      <c r="A50" s="13"/>
      <c r="B50" s="13"/>
      <c r="C50" s="13"/>
      <c r="D50" s="13"/>
      <c r="E50" s="13"/>
      <c r="F50" s="13"/>
      <c r="G50" s="13"/>
      <c r="H50" s="13"/>
      <c r="I50" s="13"/>
      <c r="J50" s="13"/>
      <c r="K50" s="13"/>
      <c r="L50" s="13"/>
      <c r="M50" s="13"/>
    </row>
    <row r="51" spans="1:13" ht="15.75" x14ac:dyDescent="0.25">
      <c r="A51" s="13"/>
      <c r="B51" s="13"/>
      <c r="C51" s="13"/>
      <c r="D51" s="13"/>
      <c r="E51" s="13"/>
      <c r="F51" s="13"/>
      <c r="G51" s="13"/>
      <c r="H51" s="13"/>
      <c r="I51" s="13"/>
      <c r="J51" s="13"/>
      <c r="K51" s="13"/>
      <c r="L51" s="13"/>
      <c r="M51" s="13"/>
    </row>
    <row r="52" spans="1:13" ht="15.75" x14ac:dyDescent="0.25">
      <c r="A52" s="13"/>
      <c r="B52" s="13"/>
      <c r="C52" s="13"/>
      <c r="D52" s="13"/>
      <c r="E52" s="13"/>
      <c r="F52" s="13"/>
      <c r="G52" s="13"/>
      <c r="H52" s="13"/>
      <c r="I52" s="13"/>
      <c r="J52" s="13"/>
      <c r="K52" s="13"/>
      <c r="L52" s="13"/>
      <c r="M52" s="13"/>
    </row>
    <row r="53" spans="1:13" ht="15.75" x14ac:dyDescent="0.25">
      <c r="A53" s="13"/>
      <c r="B53" s="13"/>
      <c r="C53" s="13"/>
      <c r="D53" s="13"/>
      <c r="E53" s="13"/>
      <c r="F53" s="13"/>
      <c r="G53" s="13"/>
      <c r="H53" s="13"/>
      <c r="I53" s="13"/>
      <c r="J53" s="13"/>
      <c r="K53" s="13"/>
      <c r="L53" s="13"/>
      <c r="M53" s="13"/>
    </row>
    <row r="54" spans="1:13" ht="15.75" x14ac:dyDescent="0.25">
      <c r="A54" s="13"/>
      <c r="B54" s="13"/>
      <c r="C54" s="13"/>
      <c r="D54" s="13"/>
      <c r="E54" s="13"/>
      <c r="F54" s="13"/>
      <c r="G54" s="13"/>
      <c r="H54" s="13"/>
      <c r="I54" s="13"/>
      <c r="J54" s="13"/>
      <c r="K54" s="13"/>
      <c r="L54" s="13"/>
      <c r="M54" s="13"/>
    </row>
    <row r="55" spans="1:13" ht="15.75" x14ac:dyDescent="0.25">
      <c r="A55" s="13"/>
      <c r="B55" s="13"/>
      <c r="C55" s="13"/>
      <c r="D55" s="13"/>
      <c r="E55" s="13"/>
      <c r="F55" s="13"/>
      <c r="G55" s="13"/>
      <c r="H55" s="13"/>
      <c r="I55" s="13"/>
      <c r="J55" s="13"/>
      <c r="K55" s="13"/>
      <c r="L55" s="13"/>
      <c r="M55" s="13"/>
    </row>
    <row r="56" spans="1:13" ht="15.75" x14ac:dyDescent="0.25">
      <c r="A56" s="13"/>
      <c r="B56" s="13"/>
      <c r="C56" s="13"/>
      <c r="D56" s="13"/>
      <c r="E56" s="13"/>
      <c r="F56" s="13"/>
      <c r="G56" s="13"/>
      <c r="H56" s="13"/>
      <c r="I56" s="13"/>
      <c r="J56" s="13"/>
      <c r="K56" s="13"/>
      <c r="L56" s="13"/>
      <c r="M56" s="13"/>
    </row>
    <row r="57" spans="1:13" ht="15.75" x14ac:dyDescent="0.25">
      <c r="A57" s="13"/>
      <c r="B57" s="13"/>
      <c r="C57" s="13"/>
      <c r="D57" s="13"/>
      <c r="E57" s="13"/>
      <c r="F57" s="13"/>
      <c r="G57" s="13"/>
      <c r="H57" s="13"/>
      <c r="I57" s="13"/>
      <c r="J57" s="13"/>
      <c r="K57" s="13"/>
      <c r="L57" s="13"/>
      <c r="M57" s="13"/>
    </row>
    <row r="58" spans="1:13" ht="15.75" x14ac:dyDescent="0.25">
      <c r="A58" s="13"/>
      <c r="B58" s="13"/>
      <c r="C58" s="13"/>
      <c r="D58" s="13"/>
      <c r="E58" s="13"/>
      <c r="F58" s="13"/>
      <c r="G58" s="13"/>
      <c r="H58" s="13"/>
      <c r="I58" s="13"/>
      <c r="J58" s="13"/>
      <c r="K58" s="13"/>
      <c r="L58" s="13"/>
      <c r="M58" s="13"/>
    </row>
    <row r="59" spans="1:13" ht="15.75" x14ac:dyDescent="0.25">
      <c r="A59" s="13"/>
      <c r="B59" s="13"/>
      <c r="C59" s="13"/>
      <c r="D59" s="13"/>
      <c r="E59" s="13"/>
      <c r="F59" s="13"/>
      <c r="G59" s="13"/>
      <c r="H59" s="13"/>
      <c r="I59" s="13"/>
      <c r="J59" s="13"/>
      <c r="K59" s="13"/>
      <c r="L59" s="13"/>
      <c r="M59" s="13"/>
    </row>
    <row r="60" spans="1:13" ht="15.75" x14ac:dyDescent="0.25">
      <c r="A60" s="13"/>
      <c r="B60" s="13"/>
      <c r="C60" s="13"/>
      <c r="D60" s="13"/>
      <c r="E60" s="13"/>
      <c r="F60" s="13"/>
      <c r="G60" s="13"/>
      <c r="H60" s="13"/>
      <c r="I60" s="13"/>
      <c r="J60" s="13"/>
      <c r="K60" s="13"/>
      <c r="L60" s="13"/>
      <c r="M60" s="13"/>
    </row>
    <row r="61" spans="1:13" ht="15.75" x14ac:dyDescent="0.25">
      <c r="A61" s="13"/>
      <c r="B61" s="13"/>
      <c r="C61" s="13"/>
      <c r="D61" s="13"/>
      <c r="E61" s="13"/>
      <c r="F61" s="13"/>
      <c r="G61" s="13"/>
      <c r="H61" s="13"/>
      <c r="I61" s="13"/>
      <c r="J61" s="13"/>
      <c r="K61" s="13"/>
      <c r="L61" s="13"/>
      <c r="M61" s="13"/>
    </row>
    <row r="62" spans="1:13" ht="15.75" x14ac:dyDescent="0.25">
      <c r="A62" s="13"/>
      <c r="B62" s="13"/>
      <c r="C62" s="13"/>
      <c r="D62" s="13"/>
      <c r="E62" s="13"/>
      <c r="F62" s="13"/>
      <c r="G62" s="13"/>
      <c r="H62" s="13"/>
      <c r="I62" s="13"/>
      <c r="J62" s="13"/>
      <c r="K62" s="13"/>
      <c r="L62" s="13"/>
      <c r="M62" s="13"/>
    </row>
    <row r="63" spans="1:13" ht="15.75" x14ac:dyDescent="0.25">
      <c r="A63" s="13"/>
      <c r="B63" s="13"/>
      <c r="C63" s="13"/>
      <c r="D63" s="13"/>
      <c r="E63" s="13"/>
      <c r="F63" s="13"/>
      <c r="G63" s="13"/>
      <c r="H63" s="13"/>
      <c r="I63" s="13"/>
      <c r="J63" s="13"/>
      <c r="K63" s="13"/>
      <c r="L63" s="13"/>
      <c r="M63" s="13"/>
    </row>
    <row r="64" spans="1:13" ht="15.75" x14ac:dyDescent="0.25">
      <c r="A64" s="13"/>
      <c r="B64" s="13"/>
      <c r="C64" s="13"/>
      <c r="D64" s="13"/>
      <c r="E64" s="13"/>
      <c r="F64" s="13"/>
      <c r="G64" s="13"/>
      <c r="H64" s="13"/>
      <c r="I64" s="13"/>
      <c r="J64" s="13"/>
      <c r="K64" s="13"/>
      <c r="L64" s="13"/>
      <c r="M64" s="13"/>
    </row>
    <row r="65" spans="1:13" ht="15.75" x14ac:dyDescent="0.25">
      <c r="A65" s="13"/>
      <c r="B65" s="13"/>
      <c r="C65" s="13"/>
      <c r="D65" s="13"/>
      <c r="E65" s="13"/>
      <c r="F65" s="13"/>
      <c r="G65" s="13"/>
      <c r="H65" s="13"/>
      <c r="I65" s="13"/>
      <c r="J65" s="13"/>
      <c r="K65" s="13"/>
      <c r="L65" s="13"/>
      <c r="M65" s="13"/>
    </row>
    <row r="66" spans="1:13" ht="15.75" x14ac:dyDescent="0.25">
      <c r="A66" s="13"/>
      <c r="B66" s="13"/>
      <c r="C66" s="13"/>
      <c r="D66" s="13"/>
      <c r="E66" s="13"/>
      <c r="F66" s="13"/>
      <c r="G66" s="13"/>
      <c r="H66" s="13"/>
      <c r="I66" s="13"/>
      <c r="J66" s="13"/>
      <c r="K66" s="13"/>
      <c r="L66" s="13"/>
      <c r="M66" s="13"/>
    </row>
    <row r="67" spans="1:13" ht="15.75" x14ac:dyDescent="0.25">
      <c r="A67" s="13"/>
      <c r="B67" s="13"/>
      <c r="C67" s="13"/>
      <c r="D67" s="13"/>
      <c r="E67" s="13"/>
      <c r="F67" s="13"/>
      <c r="G67" s="13"/>
      <c r="H67" s="13"/>
      <c r="I67" s="13"/>
      <c r="J67" s="13"/>
      <c r="K67" s="13"/>
      <c r="L67" s="13"/>
      <c r="M67" s="13"/>
    </row>
    <row r="68" spans="1:13" ht="15.75" x14ac:dyDescent="0.25">
      <c r="A68" s="13"/>
      <c r="B68" s="13"/>
      <c r="C68" s="13"/>
      <c r="D68" s="13"/>
      <c r="E68" s="13"/>
      <c r="F68" s="13"/>
      <c r="G68" s="13"/>
      <c r="H68" s="13"/>
      <c r="I68" s="13"/>
      <c r="J68" s="13"/>
      <c r="K68" s="13"/>
      <c r="L68" s="13"/>
      <c r="M68" s="13"/>
    </row>
    <row r="69" spans="1:13" ht="15.75" x14ac:dyDescent="0.25">
      <c r="A69" s="13"/>
      <c r="B69" s="13"/>
      <c r="C69" s="13"/>
      <c r="D69" s="13"/>
      <c r="E69" s="13"/>
      <c r="F69" s="13"/>
      <c r="G69" s="13"/>
      <c r="H69" s="13"/>
      <c r="I69" s="13"/>
      <c r="J69" s="13"/>
      <c r="K69" s="13"/>
      <c r="L69" s="13"/>
      <c r="M69" s="13"/>
    </row>
    <row r="70" spans="1:13" ht="15.75" x14ac:dyDescent="0.25">
      <c r="A70" s="13"/>
      <c r="B70" s="13"/>
      <c r="C70" s="13"/>
      <c r="D70" s="13"/>
      <c r="E70" s="13"/>
      <c r="F70" s="13"/>
      <c r="G70" s="13"/>
      <c r="H70" s="13"/>
      <c r="I70" s="13"/>
      <c r="J70" s="13"/>
      <c r="K70" s="13"/>
      <c r="L70" s="13"/>
      <c r="M70" s="13"/>
    </row>
    <row r="71" spans="1:13" ht="15.75" x14ac:dyDescent="0.25">
      <c r="A71" s="13"/>
      <c r="B71" s="13"/>
      <c r="C71" s="13"/>
      <c r="D71" s="13"/>
      <c r="E71" s="13"/>
      <c r="F71" s="13"/>
      <c r="G71" s="13"/>
      <c r="H71" s="13"/>
      <c r="I71" s="13"/>
      <c r="J71" s="13"/>
      <c r="K71" s="13"/>
      <c r="L71" s="13"/>
      <c r="M71" s="13"/>
    </row>
    <row r="72" spans="1:13" ht="15.75" x14ac:dyDescent="0.25">
      <c r="A72" s="13"/>
      <c r="B72" s="13"/>
      <c r="C72" s="13"/>
      <c r="D72" s="13"/>
      <c r="E72" s="13"/>
      <c r="F72" s="13"/>
      <c r="G72" s="13"/>
      <c r="H72" s="13"/>
      <c r="I72" s="13"/>
      <c r="J72" s="13"/>
      <c r="K72" s="13"/>
      <c r="L72" s="13"/>
      <c r="M72" s="13"/>
    </row>
    <row r="73" spans="1:13" ht="15.75" x14ac:dyDescent="0.25">
      <c r="A73" s="13"/>
      <c r="B73" s="13"/>
      <c r="C73" s="13"/>
      <c r="D73" s="13"/>
      <c r="E73" s="13"/>
      <c r="F73" s="13"/>
      <c r="G73" s="13"/>
      <c r="H73" s="13"/>
      <c r="I73" s="13"/>
      <c r="J73" s="13"/>
      <c r="K73" s="13"/>
      <c r="L73" s="13"/>
      <c r="M73" s="13"/>
    </row>
    <row r="74" spans="1:13" ht="15.75" x14ac:dyDescent="0.25">
      <c r="A74" s="13"/>
      <c r="B74" s="13"/>
      <c r="C74" s="13"/>
      <c r="D74" s="13"/>
      <c r="E74" s="13"/>
      <c r="F74" s="13"/>
      <c r="G74" s="13"/>
      <c r="H74" s="13"/>
      <c r="I74" s="13"/>
      <c r="J74" s="13"/>
      <c r="K74" s="13"/>
      <c r="L74" s="13"/>
      <c r="M74" s="13"/>
    </row>
    <row r="75" spans="1:13" ht="15.75" x14ac:dyDescent="0.25">
      <c r="A75" s="13"/>
      <c r="B75" s="13"/>
      <c r="C75" s="13"/>
      <c r="D75" s="13"/>
      <c r="E75" s="13"/>
      <c r="F75" s="13"/>
      <c r="G75" s="13"/>
      <c r="H75" s="13"/>
      <c r="I75" s="13"/>
      <c r="J75" s="13"/>
      <c r="K75" s="13"/>
      <c r="L75" s="13"/>
      <c r="M75" s="13"/>
    </row>
    <row r="76" spans="1:13" ht="15.75" x14ac:dyDescent="0.25">
      <c r="A76" s="13"/>
      <c r="B76" s="13"/>
      <c r="C76" s="13"/>
      <c r="D76" s="13"/>
      <c r="E76" s="13"/>
      <c r="F76" s="13"/>
      <c r="G76" s="13"/>
      <c r="H76" s="13"/>
      <c r="I76" s="13"/>
      <c r="J76" s="13"/>
      <c r="K76" s="13"/>
      <c r="L76" s="13"/>
      <c r="M76" s="13"/>
    </row>
    <row r="77" spans="1:13" ht="15.75" x14ac:dyDescent="0.25">
      <c r="A77" s="13"/>
      <c r="B77" s="13"/>
      <c r="C77" s="13"/>
      <c r="D77" s="13"/>
      <c r="E77" s="13"/>
      <c r="F77" s="13"/>
      <c r="G77" s="13"/>
      <c r="H77" s="13"/>
      <c r="I77" s="13"/>
      <c r="J77" s="13"/>
      <c r="K77" s="13"/>
      <c r="L77" s="13"/>
      <c r="M77" s="13"/>
    </row>
    <row r="78" spans="1:13" ht="15.75" x14ac:dyDescent="0.25">
      <c r="A78" s="13"/>
      <c r="B78" s="13"/>
      <c r="C78" s="13"/>
      <c r="D78" s="13"/>
      <c r="E78" s="13"/>
      <c r="F78" s="13"/>
      <c r="G78" s="13"/>
      <c r="H78" s="13"/>
      <c r="I78" s="13"/>
      <c r="J78" s="13"/>
      <c r="K78" s="13"/>
      <c r="L78" s="13"/>
      <c r="M78" s="13"/>
    </row>
    <row r="79" spans="1:13" ht="15.75" x14ac:dyDescent="0.25">
      <c r="A79" s="13"/>
      <c r="B79" s="13"/>
      <c r="C79" s="13"/>
      <c r="D79" s="13"/>
      <c r="E79" s="13"/>
      <c r="F79" s="13"/>
      <c r="G79" s="13"/>
      <c r="H79" s="13"/>
      <c r="I79" s="13"/>
      <c r="J79" s="13"/>
      <c r="K79" s="13"/>
      <c r="L79" s="13"/>
      <c r="M79" s="13"/>
    </row>
    <row r="80" spans="1:13" ht="15.75" x14ac:dyDescent="0.25">
      <c r="A80" s="13"/>
      <c r="B80" s="13"/>
      <c r="C80" s="13"/>
      <c r="D80" s="13"/>
      <c r="E80" s="13"/>
      <c r="F80" s="13"/>
      <c r="G80" s="13"/>
      <c r="H80" s="13"/>
      <c r="I80" s="13"/>
      <c r="J80" s="13"/>
      <c r="K80" s="13"/>
      <c r="L80" s="13"/>
      <c r="M80" s="13"/>
    </row>
    <row r="81" spans="1:13" ht="15.75" x14ac:dyDescent="0.25">
      <c r="A81" s="13"/>
      <c r="B81" s="13"/>
      <c r="C81" s="13"/>
      <c r="D81" s="13"/>
      <c r="E81" s="13"/>
      <c r="F81" s="13"/>
      <c r="G81" s="13"/>
      <c r="H81" s="13"/>
      <c r="I81" s="13"/>
      <c r="J81" s="13"/>
      <c r="K81" s="13"/>
      <c r="L81" s="13"/>
      <c r="M81" s="13"/>
    </row>
    <row r="82" spans="1:13" ht="15.75" x14ac:dyDescent="0.25">
      <c r="A82" s="13"/>
      <c r="B82" s="13"/>
      <c r="C82" s="13"/>
      <c r="D82" s="13"/>
      <c r="E82" s="13"/>
      <c r="F82" s="13"/>
      <c r="G82" s="13"/>
      <c r="H82" s="13"/>
      <c r="I82" s="13"/>
      <c r="J82" s="13"/>
      <c r="K82" s="13"/>
      <c r="L82" s="13"/>
      <c r="M82" s="13"/>
    </row>
    <row r="83" spans="1:13" ht="15.75" x14ac:dyDescent="0.25">
      <c r="A83" s="13"/>
      <c r="B83" s="13"/>
      <c r="C83" s="13"/>
      <c r="D83" s="13"/>
      <c r="E83" s="13"/>
      <c r="F83" s="13"/>
      <c r="G83" s="13"/>
      <c r="H83" s="13"/>
      <c r="I83" s="13"/>
      <c r="J83" s="13"/>
      <c r="K83" s="13"/>
      <c r="L83" s="13"/>
      <c r="M83" s="13"/>
    </row>
    <row r="84" spans="1:13" ht="15.75" x14ac:dyDescent="0.25">
      <c r="A84" s="13"/>
      <c r="B84" s="13"/>
      <c r="C84" s="13"/>
      <c r="D84" s="13"/>
      <c r="E84" s="13"/>
      <c r="F84" s="13"/>
      <c r="G84" s="13"/>
      <c r="H84" s="13"/>
      <c r="I84" s="13"/>
      <c r="J84" s="13"/>
      <c r="K84" s="13"/>
      <c r="L84" s="13"/>
      <c r="M84" s="13"/>
    </row>
    <row r="85" spans="1:13" ht="15.75" x14ac:dyDescent="0.25">
      <c r="A85" s="13"/>
      <c r="B85" s="13"/>
      <c r="C85" s="13"/>
      <c r="D85" s="13"/>
      <c r="E85" s="13"/>
      <c r="F85" s="13"/>
      <c r="G85" s="13"/>
      <c r="H85" s="13"/>
      <c r="I85" s="13"/>
      <c r="J85" s="13"/>
      <c r="K85" s="13"/>
      <c r="L85" s="13"/>
      <c r="M85" s="13"/>
    </row>
    <row r="86" spans="1:13" ht="15.75" x14ac:dyDescent="0.25">
      <c r="A86" s="13"/>
      <c r="B86" s="13"/>
      <c r="C86" s="13"/>
      <c r="D86" s="13"/>
      <c r="E86" s="13"/>
      <c r="F86" s="13"/>
      <c r="G86" s="13"/>
      <c r="H86" s="13"/>
      <c r="I86" s="13"/>
      <c r="J86" s="13"/>
      <c r="K86" s="13"/>
      <c r="L86" s="13"/>
      <c r="M86" s="13"/>
    </row>
    <row r="87" spans="1:13" ht="15.75" x14ac:dyDescent="0.25">
      <c r="A87" s="13"/>
      <c r="B87" s="13"/>
      <c r="C87" s="13"/>
      <c r="D87" s="13"/>
      <c r="E87" s="13"/>
      <c r="F87" s="13"/>
      <c r="G87" s="13"/>
      <c r="H87" s="13"/>
      <c r="I87" s="13"/>
      <c r="J87" s="13"/>
      <c r="K87" s="13"/>
      <c r="L87" s="13"/>
      <c r="M87" s="13"/>
    </row>
    <row r="88" spans="1:13" ht="15.75" x14ac:dyDescent="0.25">
      <c r="A88" s="13"/>
      <c r="B88" s="13"/>
      <c r="C88" s="13"/>
      <c r="D88" s="13"/>
      <c r="E88" s="13"/>
      <c r="F88" s="13"/>
      <c r="G88" s="13"/>
      <c r="H88" s="13"/>
      <c r="I88" s="13"/>
      <c r="J88" s="13"/>
      <c r="K88" s="13"/>
      <c r="L88" s="13"/>
      <c r="M88" s="13"/>
    </row>
    <row r="89" spans="1:13" ht="15.75" x14ac:dyDescent="0.25">
      <c r="A89" s="13"/>
      <c r="B89" s="13"/>
      <c r="C89" s="13"/>
      <c r="D89" s="13"/>
      <c r="E89" s="13"/>
      <c r="F89" s="13"/>
      <c r="G89" s="13"/>
      <c r="H89" s="13"/>
      <c r="I89" s="13"/>
      <c r="J89" s="13"/>
      <c r="K89" s="13"/>
      <c r="L89" s="13"/>
      <c r="M89" s="13"/>
    </row>
    <row r="90" spans="1:13" ht="15.75" x14ac:dyDescent="0.25">
      <c r="A90" s="13"/>
      <c r="B90" s="13"/>
      <c r="C90" s="13"/>
      <c r="D90" s="13"/>
      <c r="E90" s="13"/>
      <c r="F90" s="13"/>
      <c r="G90" s="13"/>
      <c r="H90" s="13"/>
      <c r="I90" s="13"/>
      <c r="J90" s="13"/>
      <c r="K90" s="13"/>
      <c r="L90" s="13"/>
      <c r="M90" s="13"/>
    </row>
    <row r="91" spans="1:13" ht="15.75" x14ac:dyDescent="0.25">
      <c r="A91" s="13"/>
      <c r="B91" s="13"/>
      <c r="C91" s="13"/>
      <c r="D91" s="13"/>
      <c r="E91" s="13"/>
      <c r="F91" s="13"/>
      <c r="G91" s="13"/>
      <c r="H91" s="13"/>
      <c r="I91" s="13"/>
      <c r="J91" s="13"/>
      <c r="K91" s="13"/>
      <c r="L91" s="13"/>
      <c r="M91" s="13"/>
    </row>
    <row r="92" spans="1:13" ht="15.75" x14ac:dyDescent="0.25">
      <c r="A92" s="13"/>
      <c r="B92" s="13"/>
      <c r="C92" s="13"/>
      <c r="D92" s="13"/>
      <c r="E92" s="13"/>
      <c r="F92" s="13"/>
      <c r="G92" s="13"/>
      <c r="H92" s="13"/>
      <c r="I92" s="13"/>
      <c r="J92" s="13"/>
      <c r="K92" s="13"/>
      <c r="L92" s="13"/>
      <c r="M92" s="13"/>
    </row>
    <row r="93" spans="1:13" ht="15.75" x14ac:dyDescent="0.25">
      <c r="A93" s="13"/>
      <c r="B93" s="13"/>
      <c r="C93" s="13"/>
      <c r="D93" s="13"/>
      <c r="E93" s="13"/>
      <c r="F93" s="13"/>
      <c r="G93" s="13"/>
      <c r="H93" s="13"/>
      <c r="I93" s="13"/>
      <c r="J93" s="13"/>
      <c r="K93" s="13"/>
      <c r="L93" s="13"/>
      <c r="M93" s="13"/>
    </row>
    <row r="94" spans="1:13" ht="15.75" x14ac:dyDescent="0.25">
      <c r="A94" s="13"/>
      <c r="B94" s="13"/>
      <c r="C94" s="13"/>
      <c r="D94" s="13"/>
      <c r="E94" s="13"/>
      <c r="F94" s="13"/>
      <c r="G94" s="13"/>
      <c r="H94" s="13"/>
      <c r="I94" s="13"/>
      <c r="J94" s="13"/>
      <c r="K94" s="13"/>
      <c r="L94" s="13"/>
      <c r="M94" s="13"/>
    </row>
    <row r="95" spans="1:13" ht="15.75" x14ac:dyDescent="0.25">
      <c r="A95" s="13"/>
      <c r="B95" s="13"/>
      <c r="C95" s="13"/>
      <c r="D95" s="13"/>
      <c r="E95" s="13"/>
      <c r="F95" s="13"/>
      <c r="G95" s="13"/>
      <c r="H95" s="13"/>
      <c r="I95" s="13"/>
      <c r="J95" s="13"/>
      <c r="K95" s="13"/>
      <c r="L95" s="13"/>
      <c r="M95" s="13"/>
    </row>
    <row r="96" spans="1:13" ht="15.75" x14ac:dyDescent="0.25">
      <c r="A96" s="13"/>
      <c r="B96" s="13"/>
      <c r="C96" s="13"/>
      <c r="D96" s="13"/>
      <c r="E96" s="13"/>
      <c r="F96" s="13"/>
      <c r="G96" s="13"/>
      <c r="H96" s="13"/>
      <c r="I96" s="13"/>
      <c r="J96" s="13"/>
      <c r="K96" s="13"/>
      <c r="L96" s="13"/>
      <c r="M96" s="13"/>
    </row>
    <row r="97" spans="1:13" ht="15.75" x14ac:dyDescent="0.25">
      <c r="A97" s="13"/>
      <c r="B97" s="13"/>
      <c r="C97" s="13"/>
      <c r="D97" s="13"/>
      <c r="E97" s="13"/>
      <c r="F97" s="13"/>
      <c r="G97" s="13"/>
      <c r="H97" s="13"/>
      <c r="I97" s="13"/>
      <c r="J97" s="13"/>
      <c r="K97" s="13"/>
      <c r="L97" s="13"/>
      <c r="M97" s="13"/>
    </row>
    <row r="98" spans="1:13" ht="15.75" x14ac:dyDescent="0.25">
      <c r="A98" s="13"/>
      <c r="B98" s="13"/>
      <c r="C98" s="13"/>
      <c r="D98" s="13"/>
      <c r="E98" s="13"/>
      <c r="F98" s="13"/>
      <c r="G98" s="13"/>
      <c r="H98" s="13"/>
      <c r="I98" s="13"/>
      <c r="J98" s="13"/>
      <c r="K98" s="13"/>
      <c r="L98" s="13"/>
      <c r="M98" s="13"/>
    </row>
    <row r="99" spans="1:13" ht="15.75" x14ac:dyDescent="0.25">
      <c r="A99" s="13"/>
      <c r="B99" s="13"/>
      <c r="C99" s="13"/>
      <c r="D99" s="13"/>
      <c r="E99" s="13"/>
      <c r="F99" s="13"/>
      <c r="G99" s="13"/>
      <c r="H99" s="13"/>
      <c r="I99" s="13"/>
      <c r="J99" s="13"/>
      <c r="K99" s="13"/>
      <c r="L99" s="13"/>
      <c r="M99" s="13"/>
    </row>
    <row r="100" spans="1:13" ht="15.75" x14ac:dyDescent="0.25">
      <c r="A100" s="13"/>
      <c r="B100" s="13"/>
      <c r="C100" s="13"/>
      <c r="D100" s="13"/>
      <c r="E100" s="13"/>
      <c r="F100" s="13"/>
      <c r="G100" s="13"/>
      <c r="H100" s="13"/>
      <c r="I100" s="13"/>
      <c r="J100" s="13"/>
      <c r="K100" s="13"/>
      <c r="L100" s="13"/>
      <c r="M100" s="13"/>
    </row>
    <row r="101" spans="1:13" ht="15.75" x14ac:dyDescent="0.25">
      <c r="A101" s="13"/>
      <c r="B101" s="13"/>
      <c r="C101" s="13"/>
      <c r="D101" s="13"/>
      <c r="E101" s="13"/>
      <c r="F101" s="13"/>
      <c r="G101" s="13"/>
      <c r="H101" s="13"/>
      <c r="I101" s="13"/>
      <c r="J101" s="13"/>
      <c r="K101" s="13"/>
      <c r="L101" s="13"/>
      <c r="M101" s="13"/>
    </row>
    <row r="102" spans="1:13" ht="15.75" x14ac:dyDescent="0.25">
      <c r="A102" s="13"/>
      <c r="B102" s="13"/>
      <c r="C102" s="13"/>
      <c r="D102" s="13"/>
      <c r="E102" s="13"/>
      <c r="F102" s="13"/>
      <c r="G102" s="13"/>
      <c r="H102" s="13"/>
      <c r="I102" s="13"/>
      <c r="J102" s="13"/>
      <c r="K102" s="13"/>
      <c r="L102" s="13"/>
      <c r="M102" s="13"/>
    </row>
    <row r="103" spans="1:13" ht="15.75" x14ac:dyDescent="0.25">
      <c r="A103" s="13"/>
      <c r="B103" s="13"/>
      <c r="C103" s="13"/>
      <c r="D103" s="13"/>
      <c r="E103" s="13"/>
      <c r="F103" s="13"/>
      <c r="G103" s="13"/>
      <c r="H103" s="13"/>
      <c r="I103" s="13"/>
      <c r="J103" s="13"/>
      <c r="K103" s="13"/>
      <c r="L103" s="13"/>
      <c r="M103" s="13"/>
    </row>
    <row r="104" spans="1:13" ht="15.75" x14ac:dyDescent="0.25">
      <c r="A104" s="13"/>
      <c r="B104" s="13"/>
      <c r="C104" s="13"/>
      <c r="D104" s="13"/>
      <c r="E104" s="13"/>
      <c r="F104" s="13"/>
      <c r="G104" s="13"/>
      <c r="H104" s="13"/>
      <c r="I104" s="13"/>
      <c r="J104" s="13"/>
      <c r="K104" s="13"/>
      <c r="L104" s="13"/>
      <c r="M104" s="13"/>
    </row>
    <row r="105" spans="1:13" ht="15.75" x14ac:dyDescent="0.25">
      <c r="A105" s="13"/>
      <c r="B105" s="13"/>
      <c r="C105" s="13"/>
      <c r="D105" s="13"/>
      <c r="E105" s="13"/>
      <c r="F105" s="13"/>
      <c r="G105" s="13"/>
      <c r="H105" s="13"/>
      <c r="I105" s="13"/>
      <c r="J105" s="13"/>
      <c r="K105" s="13"/>
      <c r="L105" s="13"/>
      <c r="M105" s="13"/>
    </row>
    <row r="106" spans="1:13" ht="15.75" x14ac:dyDescent="0.25">
      <c r="A106" s="13"/>
      <c r="B106" s="13"/>
      <c r="C106" s="13"/>
      <c r="D106" s="13"/>
      <c r="E106" s="13"/>
      <c r="F106" s="13"/>
      <c r="G106" s="13"/>
      <c r="H106" s="13"/>
      <c r="I106" s="13"/>
      <c r="J106" s="13"/>
      <c r="K106" s="13"/>
      <c r="L106" s="13"/>
      <c r="M106" s="13"/>
    </row>
    <row r="107" spans="1:13" ht="15.75" x14ac:dyDescent="0.25">
      <c r="A107" s="13"/>
      <c r="B107" s="13"/>
      <c r="C107" s="13"/>
      <c r="D107" s="13"/>
      <c r="E107" s="13"/>
      <c r="F107" s="13"/>
      <c r="G107" s="13"/>
      <c r="H107" s="13"/>
      <c r="I107" s="13"/>
      <c r="J107" s="13"/>
      <c r="K107" s="13"/>
      <c r="L107" s="13"/>
      <c r="M107" s="13"/>
    </row>
    <row r="108" spans="1:13" ht="15.75" x14ac:dyDescent="0.25">
      <c r="A108" s="13"/>
      <c r="B108" s="13"/>
      <c r="C108" s="13"/>
      <c r="D108" s="13"/>
      <c r="E108" s="13"/>
      <c r="F108" s="13"/>
      <c r="G108" s="13"/>
      <c r="H108" s="13"/>
      <c r="I108" s="13"/>
      <c r="J108" s="13"/>
      <c r="K108" s="13"/>
      <c r="L108" s="13"/>
      <c r="M108" s="1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18881-8686-4DF9-A4E4-53BB3791B7DF}">
  <dimension ref="A1:M158"/>
  <sheetViews>
    <sheetView workbookViewId="0">
      <selection activeCell="E15" sqref="E15"/>
    </sheetView>
  </sheetViews>
  <sheetFormatPr defaultColWidth="9.140625" defaultRowHeight="15.75" x14ac:dyDescent="0.25"/>
  <cols>
    <col min="1" max="1" width="9.140625" style="27"/>
    <col min="2" max="2" width="9.7109375" style="12" customWidth="1"/>
    <col min="3" max="3" width="15.85546875" style="12" customWidth="1"/>
    <col min="4" max="4" width="16" style="12" customWidth="1"/>
    <col min="5" max="5" width="11.28515625" style="12" customWidth="1"/>
    <col min="6" max="6" width="12.5703125" style="34" customWidth="1"/>
    <col min="7" max="7" width="9.5703125" style="12" customWidth="1"/>
    <col min="8" max="8" width="9.140625" style="12"/>
    <col min="9" max="9" width="6.42578125" style="12" bestFit="1" customWidth="1"/>
    <col min="10" max="10" width="11" style="12" bestFit="1" customWidth="1"/>
    <col min="11" max="257" width="9.140625" style="12"/>
    <col min="258" max="258" width="9.7109375" style="12" customWidth="1"/>
    <col min="259" max="259" width="15.85546875" style="12" customWidth="1"/>
    <col min="260" max="260" width="16" style="12" customWidth="1"/>
    <col min="261" max="261" width="11.28515625" style="12" customWidth="1"/>
    <col min="262" max="262" width="12.5703125" style="12" customWidth="1"/>
    <col min="263" max="263" width="9.5703125" style="12" customWidth="1"/>
    <col min="264" max="264" width="9.140625" style="12"/>
    <col min="265" max="265" width="6.42578125" style="12" bestFit="1" customWidth="1"/>
    <col min="266" max="266" width="11" style="12" bestFit="1" customWidth="1"/>
    <col min="267" max="513" width="9.140625" style="12"/>
    <col min="514" max="514" width="9.7109375" style="12" customWidth="1"/>
    <col min="515" max="515" width="15.85546875" style="12" customWidth="1"/>
    <col min="516" max="516" width="16" style="12" customWidth="1"/>
    <col min="517" max="517" width="11.28515625" style="12" customWidth="1"/>
    <col min="518" max="518" width="12.5703125" style="12" customWidth="1"/>
    <col min="519" max="519" width="9.5703125" style="12" customWidth="1"/>
    <col min="520" max="520" width="9.140625" style="12"/>
    <col min="521" max="521" width="6.42578125" style="12" bestFit="1" customWidth="1"/>
    <col min="522" max="522" width="11" style="12" bestFit="1" customWidth="1"/>
    <col min="523" max="769" width="9.140625" style="12"/>
    <col min="770" max="770" width="9.7109375" style="12" customWidth="1"/>
    <col min="771" max="771" width="15.85546875" style="12" customWidth="1"/>
    <col min="772" max="772" width="16" style="12" customWidth="1"/>
    <col min="773" max="773" width="11.28515625" style="12" customWidth="1"/>
    <col min="774" max="774" width="12.5703125" style="12" customWidth="1"/>
    <col min="775" max="775" width="9.5703125" style="12" customWidth="1"/>
    <col min="776" max="776" width="9.140625" style="12"/>
    <col min="777" max="777" width="6.42578125" style="12" bestFit="1" customWidth="1"/>
    <col min="778" max="778" width="11" style="12" bestFit="1" customWidth="1"/>
    <col min="779" max="1025" width="9.140625" style="12"/>
    <col min="1026" max="1026" width="9.7109375" style="12" customWidth="1"/>
    <col min="1027" max="1027" width="15.85546875" style="12" customWidth="1"/>
    <col min="1028" max="1028" width="16" style="12" customWidth="1"/>
    <col min="1029" max="1029" width="11.28515625" style="12" customWidth="1"/>
    <col min="1030" max="1030" width="12.5703125" style="12" customWidth="1"/>
    <col min="1031" max="1031" width="9.5703125" style="12" customWidth="1"/>
    <col min="1032" max="1032" width="9.140625" style="12"/>
    <col min="1033" max="1033" width="6.42578125" style="12" bestFit="1" customWidth="1"/>
    <col min="1034" max="1034" width="11" style="12" bestFit="1" customWidth="1"/>
    <col min="1035" max="1281" width="9.140625" style="12"/>
    <col min="1282" max="1282" width="9.7109375" style="12" customWidth="1"/>
    <col min="1283" max="1283" width="15.85546875" style="12" customWidth="1"/>
    <col min="1284" max="1284" width="16" style="12" customWidth="1"/>
    <col min="1285" max="1285" width="11.28515625" style="12" customWidth="1"/>
    <col min="1286" max="1286" width="12.5703125" style="12" customWidth="1"/>
    <col min="1287" max="1287" width="9.5703125" style="12" customWidth="1"/>
    <col min="1288" max="1288" width="9.140625" style="12"/>
    <col min="1289" max="1289" width="6.42578125" style="12" bestFit="1" customWidth="1"/>
    <col min="1290" max="1290" width="11" style="12" bestFit="1" customWidth="1"/>
    <col min="1291" max="1537" width="9.140625" style="12"/>
    <col min="1538" max="1538" width="9.7109375" style="12" customWidth="1"/>
    <col min="1539" max="1539" width="15.85546875" style="12" customWidth="1"/>
    <col min="1540" max="1540" width="16" style="12" customWidth="1"/>
    <col min="1541" max="1541" width="11.28515625" style="12" customWidth="1"/>
    <col min="1542" max="1542" width="12.5703125" style="12" customWidth="1"/>
    <col min="1543" max="1543" width="9.5703125" style="12" customWidth="1"/>
    <col min="1544" max="1544" width="9.140625" style="12"/>
    <col min="1545" max="1545" width="6.42578125" style="12" bestFit="1" customWidth="1"/>
    <col min="1546" max="1546" width="11" style="12" bestFit="1" customWidth="1"/>
    <col min="1547" max="1793" width="9.140625" style="12"/>
    <col min="1794" max="1794" width="9.7109375" style="12" customWidth="1"/>
    <col min="1795" max="1795" width="15.85546875" style="12" customWidth="1"/>
    <col min="1796" max="1796" width="16" style="12" customWidth="1"/>
    <col min="1797" max="1797" width="11.28515625" style="12" customWidth="1"/>
    <col min="1798" max="1798" width="12.5703125" style="12" customWidth="1"/>
    <col min="1799" max="1799" width="9.5703125" style="12" customWidth="1"/>
    <col min="1800" max="1800" width="9.140625" style="12"/>
    <col min="1801" max="1801" width="6.42578125" style="12" bestFit="1" customWidth="1"/>
    <col min="1802" max="1802" width="11" style="12" bestFit="1" customWidth="1"/>
    <col min="1803" max="2049" width="9.140625" style="12"/>
    <col min="2050" max="2050" width="9.7109375" style="12" customWidth="1"/>
    <col min="2051" max="2051" width="15.85546875" style="12" customWidth="1"/>
    <col min="2052" max="2052" width="16" style="12" customWidth="1"/>
    <col min="2053" max="2053" width="11.28515625" style="12" customWidth="1"/>
    <col min="2054" max="2054" width="12.5703125" style="12" customWidth="1"/>
    <col min="2055" max="2055" width="9.5703125" style="12" customWidth="1"/>
    <col min="2056" max="2056" width="9.140625" style="12"/>
    <col min="2057" max="2057" width="6.42578125" style="12" bestFit="1" customWidth="1"/>
    <col min="2058" max="2058" width="11" style="12" bestFit="1" customWidth="1"/>
    <col min="2059" max="2305" width="9.140625" style="12"/>
    <col min="2306" max="2306" width="9.7109375" style="12" customWidth="1"/>
    <col min="2307" max="2307" width="15.85546875" style="12" customWidth="1"/>
    <col min="2308" max="2308" width="16" style="12" customWidth="1"/>
    <col min="2309" max="2309" width="11.28515625" style="12" customWidth="1"/>
    <col min="2310" max="2310" width="12.5703125" style="12" customWidth="1"/>
    <col min="2311" max="2311" width="9.5703125" style="12" customWidth="1"/>
    <col min="2312" max="2312" width="9.140625" style="12"/>
    <col min="2313" max="2313" width="6.42578125" style="12" bestFit="1" customWidth="1"/>
    <col min="2314" max="2314" width="11" style="12" bestFit="1" customWidth="1"/>
    <col min="2315" max="2561" width="9.140625" style="12"/>
    <col min="2562" max="2562" width="9.7109375" style="12" customWidth="1"/>
    <col min="2563" max="2563" width="15.85546875" style="12" customWidth="1"/>
    <col min="2564" max="2564" width="16" style="12" customWidth="1"/>
    <col min="2565" max="2565" width="11.28515625" style="12" customWidth="1"/>
    <col min="2566" max="2566" width="12.5703125" style="12" customWidth="1"/>
    <col min="2567" max="2567" width="9.5703125" style="12" customWidth="1"/>
    <col min="2568" max="2568" width="9.140625" style="12"/>
    <col min="2569" max="2569" width="6.42578125" style="12" bestFit="1" customWidth="1"/>
    <col min="2570" max="2570" width="11" style="12" bestFit="1" customWidth="1"/>
    <col min="2571" max="2817" width="9.140625" style="12"/>
    <col min="2818" max="2818" width="9.7109375" style="12" customWidth="1"/>
    <col min="2819" max="2819" width="15.85546875" style="12" customWidth="1"/>
    <col min="2820" max="2820" width="16" style="12" customWidth="1"/>
    <col min="2821" max="2821" width="11.28515625" style="12" customWidth="1"/>
    <col min="2822" max="2822" width="12.5703125" style="12" customWidth="1"/>
    <col min="2823" max="2823" width="9.5703125" style="12" customWidth="1"/>
    <col min="2824" max="2824" width="9.140625" style="12"/>
    <col min="2825" max="2825" width="6.42578125" style="12" bestFit="1" customWidth="1"/>
    <col min="2826" max="2826" width="11" style="12" bestFit="1" customWidth="1"/>
    <col min="2827" max="3073" width="9.140625" style="12"/>
    <col min="3074" max="3074" width="9.7109375" style="12" customWidth="1"/>
    <col min="3075" max="3075" width="15.85546875" style="12" customWidth="1"/>
    <col min="3076" max="3076" width="16" style="12" customWidth="1"/>
    <col min="3077" max="3077" width="11.28515625" style="12" customWidth="1"/>
    <col min="3078" max="3078" width="12.5703125" style="12" customWidth="1"/>
    <col min="3079" max="3079" width="9.5703125" style="12" customWidth="1"/>
    <col min="3080" max="3080" width="9.140625" style="12"/>
    <col min="3081" max="3081" width="6.42578125" style="12" bestFit="1" customWidth="1"/>
    <col min="3082" max="3082" width="11" style="12" bestFit="1" customWidth="1"/>
    <col min="3083" max="3329" width="9.140625" style="12"/>
    <col min="3330" max="3330" width="9.7109375" style="12" customWidth="1"/>
    <col min="3331" max="3331" width="15.85546875" style="12" customWidth="1"/>
    <col min="3332" max="3332" width="16" style="12" customWidth="1"/>
    <col min="3333" max="3333" width="11.28515625" style="12" customWidth="1"/>
    <col min="3334" max="3334" width="12.5703125" style="12" customWidth="1"/>
    <col min="3335" max="3335" width="9.5703125" style="12" customWidth="1"/>
    <col min="3336" max="3336" width="9.140625" style="12"/>
    <col min="3337" max="3337" width="6.42578125" style="12" bestFit="1" customWidth="1"/>
    <col min="3338" max="3338" width="11" style="12" bestFit="1" customWidth="1"/>
    <col min="3339" max="3585" width="9.140625" style="12"/>
    <col min="3586" max="3586" width="9.7109375" style="12" customWidth="1"/>
    <col min="3587" max="3587" width="15.85546875" style="12" customWidth="1"/>
    <col min="3588" max="3588" width="16" style="12" customWidth="1"/>
    <col min="3589" max="3589" width="11.28515625" style="12" customWidth="1"/>
    <col min="3590" max="3590" width="12.5703125" style="12" customWidth="1"/>
    <col min="3591" max="3591" width="9.5703125" style="12" customWidth="1"/>
    <col min="3592" max="3592" width="9.140625" style="12"/>
    <col min="3593" max="3593" width="6.42578125" style="12" bestFit="1" customWidth="1"/>
    <col min="3594" max="3594" width="11" style="12" bestFit="1" customWidth="1"/>
    <col min="3595" max="3841" width="9.140625" style="12"/>
    <col min="3842" max="3842" width="9.7109375" style="12" customWidth="1"/>
    <col min="3843" max="3843" width="15.85546875" style="12" customWidth="1"/>
    <col min="3844" max="3844" width="16" style="12" customWidth="1"/>
    <col min="3845" max="3845" width="11.28515625" style="12" customWidth="1"/>
    <col min="3846" max="3846" width="12.5703125" style="12" customWidth="1"/>
    <col min="3847" max="3847" width="9.5703125" style="12" customWidth="1"/>
    <col min="3848" max="3848" width="9.140625" style="12"/>
    <col min="3849" max="3849" width="6.42578125" style="12" bestFit="1" customWidth="1"/>
    <col min="3850" max="3850" width="11" style="12" bestFit="1" customWidth="1"/>
    <col min="3851" max="4097" width="9.140625" style="12"/>
    <col min="4098" max="4098" width="9.7109375" style="12" customWidth="1"/>
    <col min="4099" max="4099" width="15.85546875" style="12" customWidth="1"/>
    <col min="4100" max="4100" width="16" style="12" customWidth="1"/>
    <col min="4101" max="4101" width="11.28515625" style="12" customWidth="1"/>
    <col min="4102" max="4102" width="12.5703125" style="12" customWidth="1"/>
    <col min="4103" max="4103" width="9.5703125" style="12" customWidth="1"/>
    <col min="4104" max="4104" width="9.140625" style="12"/>
    <col min="4105" max="4105" width="6.42578125" style="12" bestFit="1" customWidth="1"/>
    <col min="4106" max="4106" width="11" style="12" bestFit="1" customWidth="1"/>
    <col min="4107" max="4353" width="9.140625" style="12"/>
    <col min="4354" max="4354" width="9.7109375" style="12" customWidth="1"/>
    <col min="4355" max="4355" width="15.85546875" style="12" customWidth="1"/>
    <col min="4356" max="4356" width="16" style="12" customWidth="1"/>
    <col min="4357" max="4357" width="11.28515625" style="12" customWidth="1"/>
    <col min="4358" max="4358" width="12.5703125" style="12" customWidth="1"/>
    <col min="4359" max="4359" width="9.5703125" style="12" customWidth="1"/>
    <col min="4360" max="4360" width="9.140625" style="12"/>
    <col min="4361" max="4361" width="6.42578125" style="12" bestFit="1" customWidth="1"/>
    <col min="4362" max="4362" width="11" style="12" bestFit="1" customWidth="1"/>
    <col min="4363" max="4609" width="9.140625" style="12"/>
    <col min="4610" max="4610" width="9.7109375" style="12" customWidth="1"/>
    <col min="4611" max="4611" width="15.85546875" style="12" customWidth="1"/>
    <col min="4612" max="4612" width="16" style="12" customWidth="1"/>
    <col min="4613" max="4613" width="11.28515625" style="12" customWidth="1"/>
    <col min="4614" max="4614" width="12.5703125" style="12" customWidth="1"/>
    <col min="4615" max="4615" width="9.5703125" style="12" customWidth="1"/>
    <col min="4616" max="4616" width="9.140625" style="12"/>
    <col min="4617" max="4617" width="6.42578125" style="12" bestFit="1" customWidth="1"/>
    <col min="4618" max="4618" width="11" style="12" bestFit="1" customWidth="1"/>
    <col min="4619" max="4865" width="9.140625" style="12"/>
    <col min="4866" max="4866" width="9.7109375" style="12" customWidth="1"/>
    <col min="4867" max="4867" width="15.85546875" style="12" customWidth="1"/>
    <col min="4868" max="4868" width="16" style="12" customWidth="1"/>
    <col min="4869" max="4869" width="11.28515625" style="12" customWidth="1"/>
    <col min="4870" max="4870" width="12.5703125" style="12" customWidth="1"/>
    <col min="4871" max="4871" width="9.5703125" style="12" customWidth="1"/>
    <col min="4872" max="4872" width="9.140625" style="12"/>
    <col min="4873" max="4873" width="6.42578125" style="12" bestFit="1" customWidth="1"/>
    <col min="4874" max="4874" width="11" style="12" bestFit="1" customWidth="1"/>
    <col min="4875" max="5121" width="9.140625" style="12"/>
    <col min="5122" max="5122" width="9.7109375" style="12" customWidth="1"/>
    <col min="5123" max="5123" width="15.85546875" style="12" customWidth="1"/>
    <col min="5124" max="5124" width="16" style="12" customWidth="1"/>
    <col min="5125" max="5125" width="11.28515625" style="12" customWidth="1"/>
    <col min="5126" max="5126" width="12.5703125" style="12" customWidth="1"/>
    <col min="5127" max="5127" width="9.5703125" style="12" customWidth="1"/>
    <col min="5128" max="5128" width="9.140625" style="12"/>
    <col min="5129" max="5129" width="6.42578125" style="12" bestFit="1" customWidth="1"/>
    <col min="5130" max="5130" width="11" style="12" bestFit="1" customWidth="1"/>
    <col min="5131" max="5377" width="9.140625" style="12"/>
    <col min="5378" max="5378" width="9.7109375" style="12" customWidth="1"/>
    <col min="5379" max="5379" width="15.85546875" style="12" customWidth="1"/>
    <col min="5380" max="5380" width="16" style="12" customWidth="1"/>
    <col min="5381" max="5381" width="11.28515625" style="12" customWidth="1"/>
    <col min="5382" max="5382" width="12.5703125" style="12" customWidth="1"/>
    <col min="5383" max="5383" width="9.5703125" style="12" customWidth="1"/>
    <col min="5384" max="5384" width="9.140625" style="12"/>
    <col min="5385" max="5385" width="6.42578125" style="12" bestFit="1" customWidth="1"/>
    <col min="5386" max="5386" width="11" style="12" bestFit="1" customWidth="1"/>
    <col min="5387" max="5633" width="9.140625" style="12"/>
    <col min="5634" max="5634" width="9.7109375" style="12" customWidth="1"/>
    <col min="5635" max="5635" width="15.85546875" style="12" customWidth="1"/>
    <col min="5636" max="5636" width="16" style="12" customWidth="1"/>
    <col min="5637" max="5637" width="11.28515625" style="12" customWidth="1"/>
    <col min="5638" max="5638" width="12.5703125" style="12" customWidth="1"/>
    <col min="5639" max="5639" width="9.5703125" style="12" customWidth="1"/>
    <col min="5640" max="5640" width="9.140625" style="12"/>
    <col min="5641" max="5641" width="6.42578125" style="12" bestFit="1" customWidth="1"/>
    <col min="5642" max="5642" width="11" style="12" bestFit="1" customWidth="1"/>
    <col min="5643" max="5889" width="9.140625" style="12"/>
    <col min="5890" max="5890" width="9.7109375" style="12" customWidth="1"/>
    <col min="5891" max="5891" width="15.85546875" style="12" customWidth="1"/>
    <col min="5892" max="5892" width="16" style="12" customWidth="1"/>
    <col min="5893" max="5893" width="11.28515625" style="12" customWidth="1"/>
    <col min="5894" max="5894" width="12.5703125" style="12" customWidth="1"/>
    <col min="5895" max="5895" width="9.5703125" style="12" customWidth="1"/>
    <col min="5896" max="5896" width="9.140625" style="12"/>
    <col min="5897" max="5897" width="6.42578125" style="12" bestFit="1" customWidth="1"/>
    <col min="5898" max="5898" width="11" style="12" bestFit="1" customWidth="1"/>
    <col min="5899" max="6145" width="9.140625" style="12"/>
    <col min="6146" max="6146" width="9.7109375" style="12" customWidth="1"/>
    <col min="6147" max="6147" width="15.85546875" style="12" customWidth="1"/>
    <col min="6148" max="6148" width="16" style="12" customWidth="1"/>
    <col min="6149" max="6149" width="11.28515625" style="12" customWidth="1"/>
    <col min="6150" max="6150" width="12.5703125" style="12" customWidth="1"/>
    <col min="6151" max="6151" width="9.5703125" style="12" customWidth="1"/>
    <col min="6152" max="6152" width="9.140625" style="12"/>
    <col min="6153" max="6153" width="6.42578125" style="12" bestFit="1" customWidth="1"/>
    <col min="6154" max="6154" width="11" style="12" bestFit="1" customWidth="1"/>
    <col min="6155" max="6401" width="9.140625" style="12"/>
    <col min="6402" max="6402" width="9.7109375" style="12" customWidth="1"/>
    <col min="6403" max="6403" width="15.85546875" style="12" customWidth="1"/>
    <col min="6404" max="6404" width="16" style="12" customWidth="1"/>
    <col min="6405" max="6405" width="11.28515625" style="12" customWidth="1"/>
    <col min="6406" max="6406" width="12.5703125" style="12" customWidth="1"/>
    <col min="6407" max="6407" width="9.5703125" style="12" customWidth="1"/>
    <col min="6408" max="6408" width="9.140625" style="12"/>
    <col min="6409" max="6409" width="6.42578125" style="12" bestFit="1" customWidth="1"/>
    <col min="6410" max="6410" width="11" style="12" bestFit="1" customWidth="1"/>
    <col min="6411" max="6657" width="9.140625" style="12"/>
    <col min="6658" max="6658" width="9.7109375" style="12" customWidth="1"/>
    <col min="6659" max="6659" width="15.85546875" style="12" customWidth="1"/>
    <col min="6660" max="6660" width="16" style="12" customWidth="1"/>
    <col min="6661" max="6661" width="11.28515625" style="12" customWidth="1"/>
    <col min="6662" max="6662" width="12.5703125" style="12" customWidth="1"/>
    <col min="6663" max="6663" width="9.5703125" style="12" customWidth="1"/>
    <col min="6664" max="6664" width="9.140625" style="12"/>
    <col min="6665" max="6665" width="6.42578125" style="12" bestFit="1" customWidth="1"/>
    <col min="6666" max="6666" width="11" style="12" bestFit="1" customWidth="1"/>
    <col min="6667" max="6913" width="9.140625" style="12"/>
    <col min="6914" max="6914" width="9.7109375" style="12" customWidth="1"/>
    <col min="6915" max="6915" width="15.85546875" style="12" customWidth="1"/>
    <col min="6916" max="6916" width="16" style="12" customWidth="1"/>
    <col min="6917" max="6917" width="11.28515625" style="12" customWidth="1"/>
    <col min="6918" max="6918" width="12.5703125" style="12" customWidth="1"/>
    <col min="6919" max="6919" width="9.5703125" style="12" customWidth="1"/>
    <col min="6920" max="6920" width="9.140625" style="12"/>
    <col min="6921" max="6921" width="6.42578125" style="12" bestFit="1" customWidth="1"/>
    <col min="6922" max="6922" width="11" style="12" bestFit="1" customWidth="1"/>
    <col min="6923" max="7169" width="9.140625" style="12"/>
    <col min="7170" max="7170" width="9.7109375" style="12" customWidth="1"/>
    <col min="7171" max="7171" width="15.85546875" style="12" customWidth="1"/>
    <col min="7172" max="7172" width="16" style="12" customWidth="1"/>
    <col min="7173" max="7173" width="11.28515625" style="12" customWidth="1"/>
    <col min="7174" max="7174" width="12.5703125" style="12" customWidth="1"/>
    <col min="7175" max="7175" width="9.5703125" style="12" customWidth="1"/>
    <col min="7176" max="7176" width="9.140625" style="12"/>
    <col min="7177" max="7177" width="6.42578125" style="12" bestFit="1" customWidth="1"/>
    <col min="7178" max="7178" width="11" style="12" bestFit="1" customWidth="1"/>
    <col min="7179" max="7425" width="9.140625" style="12"/>
    <col min="7426" max="7426" width="9.7109375" style="12" customWidth="1"/>
    <col min="7427" max="7427" width="15.85546875" style="12" customWidth="1"/>
    <col min="7428" max="7428" width="16" style="12" customWidth="1"/>
    <col min="7429" max="7429" width="11.28515625" style="12" customWidth="1"/>
    <col min="7430" max="7430" width="12.5703125" style="12" customWidth="1"/>
    <col min="7431" max="7431" width="9.5703125" style="12" customWidth="1"/>
    <col min="7432" max="7432" width="9.140625" style="12"/>
    <col min="7433" max="7433" width="6.42578125" style="12" bestFit="1" customWidth="1"/>
    <col min="7434" max="7434" width="11" style="12" bestFit="1" customWidth="1"/>
    <col min="7435" max="7681" width="9.140625" style="12"/>
    <col min="7682" max="7682" width="9.7109375" style="12" customWidth="1"/>
    <col min="7683" max="7683" width="15.85546875" style="12" customWidth="1"/>
    <col min="7684" max="7684" width="16" style="12" customWidth="1"/>
    <col min="7685" max="7685" width="11.28515625" style="12" customWidth="1"/>
    <col min="7686" max="7686" width="12.5703125" style="12" customWidth="1"/>
    <col min="7687" max="7687" width="9.5703125" style="12" customWidth="1"/>
    <col min="7688" max="7688" width="9.140625" style="12"/>
    <col min="7689" max="7689" width="6.42578125" style="12" bestFit="1" customWidth="1"/>
    <col min="7690" max="7690" width="11" style="12" bestFit="1" customWidth="1"/>
    <col min="7691" max="7937" width="9.140625" style="12"/>
    <col min="7938" max="7938" width="9.7109375" style="12" customWidth="1"/>
    <col min="7939" max="7939" width="15.85546875" style="12" customWidth="1"/>
    <col min="7940" max="7940" width="16" style="12" customWidth="1"/>
    <col min="7941" max="7941" width="11.28515625" style="12" customWidth="1"/>
    <col min="7942" max="7942" width="12.5703125" style="12" customWidth="1"/>
    <col min="7943" max="7943" width="9.5703125" style="12" customWidth="1"/>
    <col min="7944" max="7944" width="9.140625" style="12"/>
    <col min="7945" max="7945" width="6.42578125" style="12" bestFit="1" customWidth="1"/>
    <col min="7946" max="7946" width="11" style="12" bestFit="1" customWidth="1"/>
    <col min="7947" max="8193" width="9.140625" style="12"/>
    <col min="8194" max="8194" width="9.7109375" style="12" customWidth="1"/>
    <col min="8195" max="8195" width="15.85546875" style="12" customWidth="1"/>
    <col min="8196" max="8196" width="16" style="12" customWidth="1"/>
    <col min="8197" max="8197" width="11.28515625" style="12" customWidth="1"/>
    <col min="8198" max="8198" width="12.5703125" style="12" customWidth="1"/>
    <col min="8199" max="8199" width="9.5703125" style="12" customWidth="1"/>
    <col min="8200" max="8200" width="9.140625" style="12"/>
    <col min="8201" max="8201" width="6.42578125" style="12" bestFit="1" customWidth="1"/>
    <col min="8202" max="8202" width="11" style="12" bestFit="1" customWidth="1"/>
    <col min="8203" max="8449" width="9.140625" style="12"/>
    <col min="8450" max="8450" width="9.7109375" style="12" customWidth="1"/>
    <col min="8451" max="8451" width="15.85546875" style="12" customWidth="1"/>
    <col min="8452" max="8452" width="16" style="12" customWidth="1"/>
    <col min="8453" max="8453" width="11.28515625" style="12" customWidth="1"/>
    <col min="8454" max="8454" width="12.5703125" style="12" customWidth="1"/>
    <col min="8455" max="8455" width="9.5703125" style="12" customWidth="1"/>
    <col min="8456" max="8456" width="9.140625" style="12"/>
    <col min="8457" max="8457" width="6.42578125" style="12" bestFit="1" customWidth="1"/>
    <col min="8458" max="8458" width="11" style="12" bestFit="1" customWidth="1"/>
    <col min="8459" max="8705" width="9.140625" style="12"/>
    <col min="8706" max="8706" width="9.7109375" style="12" customWidth="1"/>
    <col min="8707" max="8707" width="15.85546875" style="12" customWidth="1"/>
    <col min="8708" max="8708" width="16" style="12" customWidth="1"/>
    <col min="8709" max="8709" width="11.28515625" style="12" customWidth="1"/>
    <col min="8710" max="8710" width="12.5703125" style="12" customWidth="1"/>
    <col min="8711" max="8711" width="9.5703125" style="12" customWidth="1"/>
    <col min="8712" max="8712" width="9.140625" style="12"/>
    <col min="8713" max="8713" width="6.42578125" style="12" bestFit="1" customWidth="1"/>
    <col min="8714" max="8714" width="11" style="12" bestFit="1" customWidth="1"/>
    <col min="8715" max="8961" width="9.140625" style="12"/>
    <col min="8962" max="8962" width="9.7109375" style="12" customWidth="1"/>
    <col min="8963" max="8963" width="15.85546875" style="12" customWidth="1"/>
    <col min="8964" max="8964" width="16" style="12" customWidth="1"/>
    <col min="8965" max="8965" width="11.28515625" style="12" customWidth="1"/>
    <col min="8966" max="8966" width="12.5703125" style="12" customWidth="1"/>
    <col min="8967" max="8967" width="9.5703125" style="12" customWidth="1"/>
    <col min="8968" max="8968" width="9.140625" style="12"/>
    <col min="8969" max="8969" width="6.42578125" style="12" bestFit="1" customWidth="1"/>
    <col min="8970" max="8970" width="11" style="12" bestFit="1" customWidth="1"/>
    <col min="8971" max="9217" width="9.140625" style="12"/>
    <col min="9218" max="9218" width="9.7109375" style="12" customWidth="1"/>
    <col min="9219" max="9219" width="15.85546875" style="12" customWidth="1"/>
    <col min="9220" max="9220" width="16" style="12" customWidth="1"/>
    <col min="9221" max="9221" width="11.28515625" style="12" customWidth="1"/>
    <col min="9222" max="9222" width="12.5703125" style="12" customWidth="1"/>
    <col min="9223" max="9223" width="9.5703125" style="12" customWidth="1"/>
    <col min="9224" max="9224" width="9.140625" style="12"/>
    <col min="9225" max="9225" width="6.42578125" style="12" bestFit="1" customWidth="1"/>
    <col min="9226" max="9226" width="11" style="12" bestFit="1" customWidth="1"/>
    <col min="9227" max="9473" width="9.140625" style="12"/>
    <col min="9474" max="9474" width="9.7109375" style="12" customWidth="1"/>
    <col min="9475" max="9475" width="15.85546875" style="12" customWidth="1"/>
    <col min="9476" max="9476" width="16" style="12" customWidth="1"/>
    <col min="9477" max="9477" width="11.28515625" style="12" customWidth="1"/>
    <col min="9478" max="9478" width="12.5703125" style="12" customWidth="1"/>
    <col min="9479" max="9479" width="9.5703125" style="12" customWidth="1"/>
    <col min="9480" max="9480" width="9.140625" style="12"/>
    <col min="9481" max="9481" width="6.42578125" style="12" bestFit="1" customWidth="1"/>
    <col min="9482" max="9482" width="11" style="12" bestFit="1" customWidth="1"/>
    <col min="9483" max="9729" width="9.140625" style="12"/>
    <col min="9730" max="9730" width="9.7109375" style="12" customWidth="1"/>
    <col min="9731" max="9731" width="15.85546875" style="12" customWidth="1"/>
    <col min="9732" max="9732" width="16" style="12" customWidth="1"/>
    <col min="9733" max="9733" width="11.28515625" style="12" customWidth="1"/>
    <col min="9734" max="9734" width="12.5703125" style="12" customWidth="1"/>
    <col min="9735" max="9735" width="9.5703125" style="12" customWidth="1"/>
    <col min="9736" max="9736" width="9.140625" style="12"/>
    <col min="9737" max="9737" width="6.42578125" style="12" bestFit="1" customWidth="1"/>
    <col min="9738" max="9738" width="11" style="12" bestFit="1" customWidth="1"/>
    <col min="9739" max="9985" width="9.140625" style="12"/>
    <col min="9986" max="9986" width="9.7109375" style="12" customWidth="1"/>
    <col min="9987" max="9987" width="15.85546875" style="12" customWidth="1"/>
    <col min="9988" max="9988" width="16" style="12" customWidth="1"/>
    <col min="9989" max="9989" width="11.28515625" style="12" customWidth="1"/>
    <col min="9990" max="9990" width="12.5703125" style="12" customWidth="1"/>
    <col min="9991" max="9991" width="9.5703125" style="12" customWidth="1"/>
    <col min="9992" max="9992" width="9.140625" style="12"/>
    <col min="9993" max="9993" width="6.42578125" style="12" bestFit="1" customWidth="1"/>
    <col min="9994" max="9994" width="11" style="12" bestFit="1" customWidth="1"/>
    <col min="9995" max="10241" width="9.140625" style="12"/>
    <col min="10242" max="10242" width="9.7109375" style="12" customWidth="1"/>
    <col min="10243" max="10243" width="15.85546875" style="12" customWidth="1"/>
    <col min="10244" max="10244" width="16" style="12" customWidth="1"/>
    <col min="10245" max="10245" width="11.28515625" style="12" customWidth="1"/>
    <col min="10246" max="10246" width="12.5703125" style="12" customWidth="1"/>
    <col min="10247" max="10247" width="9.5703125" style="12" customWidth="1"/>
    <col min="10248" max="10248" width="9.140625" style="12"/>
    <col min="10249" max="10249" width="6.42578125" style="12" bestFit="1" customWidth="1"/>
    <col min="10250" max="10250" width="11" style="12" bestFit="1" customWidth="1"/>
    <col min="10251" max="10497" width="9.140625" style="12"/>
    <col min="10498" max="10498" width="9.7109375" style="12" customWidth="1"/>
    <col min="10499" max="10499" width="15.85546875" style="12" customWidth="1"/>
    <col min="10500" max="10500" width="16" style="12" customWidth="1"/>
    <col min="10501" max="10501" width="11.28515625" style="12" customWidth="1"/>
    <col min="10502" max="10502" width="12.5703125" style="12" customWidth="1"/>
    <col min="10503" max="10503" width="9.5703125" style="12" customWidth="1"/>
    <col min="10504" max="10504" width="9.140625" style="12"/>
    <col min="10505" max="10505" width="6.42578125" style="12" bestFit="1" customWidth="1"/>
    <col min="10506" max="10506" width="11" style="12" bestFit="1" customWidth="1"/>
    <col min="10507" max="10753" width="9.140625" style="12"/>
    <col min="10754" max="10754" width="9.7109375" style="12" customWidth="1"/>
    <col min="10755" max="10755" width="15.85546875" style="12" customWidth="1"/>
    <col min="10756" max="10756" width="16" style="12" customWidth="1"/>
    <col min="10757" max="10757" width="11.28515625" style="12" customWidth="1"/>
    <col min="10758" max="10758" width="12.5703125" style="12" customWidth="1"/>
    <col min="10759" max="10759" width="9.5703125" style="12" customWidth="1"/>
    <col min="10760" max="10760" width="9.140625" style="12"/>
    <col min="10761" max="10761" width="6.42578125" style="12" bestFit="1" customWidth="1"/>
    <col min="10762" max="10762" width="11" style="12" bestFit="1" customWidth="1"/>
    <col min="10763" max="11009" width="9.140625" style="12"/>
    <col min="11010" max="11010" width="9.7109375" style="12" customWidth="1"/>
    <col min="11011" max="11011" width="15.85546875" style="12" customWidth="1"/>
    <col min="11012" max="11012" width="16" style="12" customWidth="1"/>
    <col min="11013" max="11013" width="11.28515625" style="12" customWidth="1"/>
    <col min="11014" max="11014" width="12.5703125" style="12" customWidth="1"/>
    <col min="11015" max="11015" width="9.5703125" style="12" customWidth="1"/>
    <col min="11016" max="11016" width="9.140625" style="12"/>
    <col min="11017" max="11017" width="6.42578125" style="12" bestFit="1" customWidth="1"/>
    <col min="11018" max="11018" width="11" style="12" bestFit="1" customWidth="1"/>
    <col min="11019" max="11265" width="9.140625" style="12"/>
    <col min="11266" max="11266" width="9.7109375" style="12" customWidth="1"/>
    <col min="11267" max="11267" width="15.85546875" style="12" customWidth="1"/>
    <col min="11268" max="11268" width="16" style="12" customWidth="1"/>
    <col min="11269" max="11269" width="11.28515625" style="12" customWidth="1"/>
    <col min="11270" max="11270" width="12.5703125" style="12" customWidth="1"/>
    <col min="11271" max="11271" width="9.5703125" style="12" customWidth="1"/>
    <col min="11272" max="11272" width="9.140625" style="12"/>
    <col min="11273" max="11273" width="6.42578125" style="12" bestFit="1" customWidth="1"/>
    <col min="11274" max="11274" width="11" style="12" bestFit="1" customWidth="1"/>
    <col min="11275" max="11521" width="9.140625" style="12"/>
    <col min="11522" max="11522" width="9.7109375" style="12" customWidth="1"/>
    <col min="11523" max="11523" width="15.85546875" style="12" customWidth="1"/>
    <col min="11524" max="11524" width="16" style="12" customWidth="1"/>
    <col min="11525" max="11525" width="11.28515625" style="12" customWidth="1"/>
    <col min="11526" max="11526" width="12.5703125" style="12" customWidth="1"/>
    <col min="11527" max="11527" width="9.5703125" style="12" customWidth="1"/>
    <col min="11528" max="11528" width="9.140625" style="12"/>
    <col min="11529" max="11529" width="6.42578125" style="12" bestFit="1" customWidth="1"/>
    <col min="11530" max="11530" width="11" style="12" bestFit="1" customWidth="1"/>
    <col min="11531" max="11777" width="9.140625" style="12"/>
    <col min="11778" max="11778" width="9.7109375" style="12" customWidth="1"/>
    <col min="11779" max="11779" width="15.85546875" style="12" customWidth="1"/>
    <col min="11780" max="11780" width="16" style="12" customWidth="1"/>
    <col min="11781" max="11781" width="11.28515625" style="12" customWidth="1"/>
    <col min="11782" max="11782" width="12.5703125" style="12" customWidth="1"/>
    <col min="11783" max="11783" width="9.5703125" style="12" customWidth="1"/>
    <col min="11784" max="11784" width="9.140625" style="12"/>
    <col min="11785" max="11785" width="6.42578125" style="12" bestFit="1" customWidth="1"/>
    <col min="11786" max="11786" width="11" style="12" bestFit="1" customWidth="1"/>
    <col min="11787" max="12033" width="9.140625" style="12"/>
    <col min="12034" max="12034" width="9.7109375" style="12" customWidth="1"/>
    <col min="12035" max="12035" width="15.85546875" style="12" customWidth="1"/>
    <col min="12036" max="12036" width="16" style="12" customWidth="1"/>
    <col min="12037" max="12037" width="11.28515625" style="12" customWidth="1"/>
    <col min="12038" max="12038" width="12.5703125" style="12" customWidth="1"/>
    <col min="12039" max="12039" width="9.5703125" style="12" customWidth="1"/>
    <col min="12040" max="12040" width="9.140625" style="12"/>
    <col min="12041" max="12041" width="6.42578125" style="12" bestFit="1" customWidth="1"/>
    <col min="12042" max="12042" width="11" style="12" bestFit="1" customWidth="1"/>
    <col min="12043" max="12289" width="9.140625" style="12"/>
    <col min="12290" max="12290" width="9.7109375" style="12" customWidth="1"/>
    <col min="12291" max="12291" width="15.85546875" style="12" customWidth="1"/>
    <col min="12292" max="12292" width="16" style="12" customWidth="1"/>
    <col min="12293" max="12293" width="11.28515625" style="12" customWidth="1"/>
    <col min="12294" max="12294" width="12.5703125" style="12" customWidth="1"/>
    <col min="12295" max="12295" width="9.5703125" style="12" customWidth="1"/>
    <col min="12296" max="12296" width="9.140625" style="12"/>
    <col min="12297" max="12297" width="6.42578125" style="12" bestFit="1" customWidth="1"/>
    <col min="12298" max="12298" width="11" style="12" bestFit="1" customWidth="1"/>
    <col min="12299" max="12545" width="9.140625" style="12"/>
    <col min="12546" max="12546" width="9.7109375" style="12" customWidth="1"/>
    <col min="12547" max="12547" width="15.85546875" style="12" customWidth="1"/>
    <col min="12548" max="12548" width="16" style="12" customWidth="1"/>
    <col min="12549" max="12549" width="11.28515625" style="12" customWidth="1"/>
    <col min="12550" max="12550" width="12.5703125" style="12" customWidth="1"/>
    <col min="12551" max="12551" width="9.5703125" style="12" customWidth="1"/>
    <col min="12552" max="12552" width="9.140625" style="12"/>
    <col min="12553" max="12553" width="6.42578125" style="12" bestFit="1" customWidth="1"/>
    <col min="12554" max="12554" width="11" style="12" bestFit="1" customWidth="1"/>
    <col min="12555" max="12801" width="9.140625" style="12"/>
    <col min="12802" max="12802" width="9.7109375" style="12" customWidth="1"/>
    <col min="12803" max="12803" width="15.85546875" style="12" customWidth="1"/>
    <col min="12804" max="12804" width="16" style="12" customWidth="1"/>
    <col min="12805" max="12805" width="11.28515625" style="12" customWidth="1"/>
    <col min="12806" max="12806" width="12.5703125" style="12" customWidth="1"/>
    <col min="12807" max="12807" width="9.5703125" style="12" customWidth="1"/>
    <col min="12808" max="12808" width="9.140625" style="12"/>
    <col min="12809" max="12809" width="6.42578125" style="12" bestFit="1" customWidth="1"/>
    <col min="12810" max="12810" width="11" style="12" bestFit="1" customWidth="1"/>
    <col min="12811" max="13057" width="9.140625" style="12"/>
    <col min="13058" max="13058" width="9.7109375" style="12" customWidth="1"/>
    <col min="13059" max="13059" width="15.85546875" style="12" customWidth="1"/>
    <col min="13060" max="13060" width="16" style="12" customWidth="1"/>
    <col min="13061" max="13061" width="11.28515625" style="12" customWidth="1"/>
    <col min="13062" max="13062" width="12.5703125" style="12" customWidth="1"/>
    <col min="13063" max="13063" width="9.5703125" style="12" customWidth="1"/>
    <col min="13064" max="13064" width="9.140625" style="12"/>
    <col min="13065" max="13065" width="6.42578125" style="12" bestFit="1" customWidth="1"/>
    <col min="13066" max="13066" width="11" style="12" bestFit="1" customWidth="1"/>
    <col min="13067" max="13313" width="9.140625" style="12"/>
    <col min="13314" max="13314" width="9.7109375" style="12" customWidth="1"/>
    <col min="13315" max="13315" width="15.85546875" style="12" customWidth="1"/>
    <col min="13316" max="13316" width="16" style="12" customWidth="1"/>
    <col min="13317" max="13317" width="11.28515625" style="12" customWidth="1"/>
    <col min="13318" max="13318" width="12.5703125" style="12" customWidth="1"/>
    <col min="13319" max="13319" width="9.5703125" style="12" customWidth="1"/>
    <col min="13320" max="13320" width="9.140625" style="12"/>
    <col min="13321" max="13321" width="6.42578125" style="12" bestFit="1" customWidth="1"/>
    <col min="13322" max="13322" width="11" style="12" bestFit="1" customWidth="1"/>
    <col min="13323" max="13569" width="9.140625" style="12"/>
    <col min="13570" max="13570" width="9.7109375" style="12" customWidth="1"/>
    <col min="13571" max="13571" width="15.85546875" style="12" customWidth="1"/>
    <col min="13572" max="13572" width="16" style="12" customWidth="1"/>
    <col min="13573" max="13573" width="11.28515625" style="12" customWidth="1"/>
    <col min="13574" max="13574" width="12.5703125" style="12" customWidth="1"/>
    <col min="13575" max="13575" width="9.5703125" style="12" customWidth="1"/>
    <col min="13576" max="13576" width="9.140625" style="12"/>
    <col min="13577" max="13577" width="6.42578125" style="12" bestFit="1" customWidth="1"/>
    <col min="13578" max="13578" width="11" style="12" bestFit="1" customWidth="1"/>
    <col min="13579" max="13825" width="9.140625" style="12"/>
    <col min="13826" max="13826" width="9.7109375" style="12" customWidth="1"/>
    <col min="13827" max="13827" width="15.85546875" style="12" customWidth="1"/>
    <col min="13828" max="13828" width="16" style="12" customWidth="1"/>
    <col min="13829" max="13829" width="11.28515625" style="12" customWidth="1"/>
    <col min="13830" max="13830" width="12.5703125" style="12" customWidth="1"/>
    <col min="13831" max="13831" width="9.5703125" style="12" customWidth="1"/>
    <col min="13832" max="13832" width="9.140625" style="12"/>
    <col min="13833" max="13833" width="6.42578125" style="12" bestFit="1" customWidth="1"/>
    <col min="13834" max="13834" width="11" style="12" bestFit="1" customWidth="1"/>
    <col min="13835" max="14081" width="9.140625" style="12"/>
    <col min="14082" max="14082" width="9.7109375" style="12" customWidth="1"/>
    <col min="14083" max="14083" width="15.85546875" style="12" customWidth="1"/>
    <col min="14084" max="14084" width="16" style="12" customWidth="1"/>
    <col min="14085" max="14085" width="11.28515625" style="12" customWidth="1"/>
    <col min="14086" max="14086" width="12.5703125" style="12" customWidth="1"/>
    <col min="14087" max="14087" width="9.5703125" style="12" customWidth="1"/>
    <col min="14088" max="14088" width="9.140625" style="12"/>
    <col min="14089" max="14089" width="6.42578125" style="12" bestFit="1" customWidth="1"/>
    <col min="14090" max="14090" width="11" style="12" bestFit="1" customWidth="1"/>
    <col min="14091" max="14337" width="9.140625" style="12"/>
    <col min="14338" max="14338" width="9.7109375" style="12" customWidth="1"/>
    <col min="14339" max="14339" width="15.85546875" style="12" customWidth="1"/>
    <col min="14340" max="14340" width="16" style="12" customWidth="1"/>
    <col min="14341" max="14341" width="11.28515625" style="12" customWidth="1"/>
    <col min="14342" max="14342" width="12.5703125" style="12" customWidth="1"/>
    <col min="14343" max="14343" width="9.5703125" style="12" customWidth="1"/>
    <col min="14344" max="14344" width="9.140625" style="12"/>
    <col min="14345" max="14345" width="6.42578125" style="12" bestFit="1" customWidth="1"/>
    <col min="14346" max="14346" width="11" style="12" bestFit="1" customWidth="1"/>
    <col min="14347" max="14593" width="9.140625" style="12"/>
    <col min="14594" max="14594" width="9.7109375" style="12" customWidth="1"/>
    <col min="14595" max="14595" width="15.85546875" style="12" customWidth="1"/>
    <col min="14596" max="14596" width="16" style="12" customWidth="1"/>
    <col min="14597" max="14597" width="11.28515625" style="12" customWidth="1"/>
    <col min="14598" max="14598" width="12.5703125" style="12" customWidth="1"/>
    <col min="14599" max="14599" width="9.5703125" style="12" customWidth="1"/>
    <col min="14600" max="14600" width="9.140625" style="12"/>
    <col min="14601" max="14601" width="6.42578125" style="12" bestFit="1" customWidth="1"/>
    <col min="14602" max="14602" width="11" style="12" bestFit="1" customWidth="1"/>
    <col min="14603" max="14849" width="9.140625" style="12"/>
    <col min="14850" max="14850" width="9.7109375" style="12" customWidth="1"/>
    <col min="14851" max="14851" width="15.85546875" style="12" customWidth="1"/>
    <col min="14852" max="14852" width="16" style="12" customWidth="1"/>
    <col min="14853" max="14853" width="11.28515625" style="12" customWidth="1"/>
    <col min="14854" max="14854" width="12.5703125" style="12" customWidth="1"/>
    <col min="14855" max="14855" width="9.5703125" style="12" customWidth="1"/>
    <col min="14856" max="14856" width="9.140625" style="12"/>
    <col min="14857" max="14857" width="6.42578125" style="12" bestFit="1" customWidth="1"/>
    <col min="14858" max="14858" width="11" style="12" bestFit="1" customWidth="1"/>
    <col min="14859" max="15105" width="9.140625" style="12"/>
    <col min="15106" max="15106" width="9.7109375" style="12" customWidth="1"/>
    <col min="15107" max="15107" width="15.85546875" style="12" customWidth="1"/>
    <col min="15108" max="15108" width="16" style="12" customWidth="1"/>
    <col min="15109" max="15109" width="11.28515625" style="12" customWidth="1"/>
    <col min="15110" max="15110" width="12.5703125" style="12" customWidth="1"/>
    <col min="15111" max="15111" width="9.5703125" style="12" customWidth="1"/>
    <col min="15112" max="15112" width="9.140625" style="12"/>
    <col min="15113" max="15113" width="6.42578125" style="12" bestFit="1" customWidth="1"/>
    <col min="15114" max="15114" width="11" style="12" bestFit="1" customWidth="1"/>
    <col min="15115" max="15361" width="9.140625" style="12"/>
    <col min="15362" max="15362" width="9.7109375" style="12" customWidth="1"/>
    <col min="15363" max="15363" width="15.85546875" style="12" customWidth="1"/>
    <col min="15364" max="15364" width="16" style="12" customWidth="1"/>
    <col min="15365" max="15365" width="11.28515625" style="12" customWidth="1"/>
    <col min="15366" max="15366" width="12.5703125" style="12" customWidth="1"/>
    <col min="15367" max="15367" width="9.5703125" style="12" customWidth="1"/>
    <col min="15368" max="15368" width="9.140625" style="12"/>
    <col min="15369" max="15369" width="6.42578125" style="12" bestFit="1" customWidth="1"/>
    <col min="15370" max="15370" width="11" style="12" bestFit="1" customWidth="1"/>
    <col min="15371" max="15617" width="9.140625" style="12"/>
    <col min="15618" max="15618" width="9.7109375" style="12" customWidth="1"/>
    <col min="15619" max="15619" width="15.85546875" style="12" customWidth="1"/>
    <col min="15620" max="15620" width="16" style="12" customWidth="1"/>
    <col min="15621" max="15621" width="11.28515625" style="12" customWidth="1"/>
    <col min="15622" max="15622" width="12.5703125" style="12" customWidth="1"/>
    <col min="15623" max="15623" width="9.5703125" style="12" customWidth="1"/>
    <col min="15624" max="15624" width="9.140625" style="12"/>
    <col min="15625" max="15625" width="6.42578125" style="12" bestFit="1" customWidth="1"/>
    <col min="15626" max="15626" width="11" style="12" bestFit="1" customWidth="1"/>
    <col min="15627" max="15873" width="9.140625" style="12"/>
    <col min="15874" max="15874" width="9.7109375" style="12" customWidth="1"/>
    <col min="15875" max="15875" width="15.85546875" style="12" customWidth="1"/>
    <col min="15876" max="15876" width="16" style="12" customWidth="1"/>
    <col min="15877" max="15877" width="11.28515625" style="12" customWidth="1"/>
    <col min="15878" max="15878" width="12.5703125" style="12" customWidth="1"/>
    <col min="15879" max="15879" width="9.5703125" style="12" customWidth="1"/>
    <col min="15880" max="15880" width="9.140625" style="12"/>
    <col min="15881" max="15881" width="6.42578125" style="12" bestFit="1" customWidth="1"/>
    <col min="15882" max="15882" width="11" style="12" bestFit="1" customWidth="1"/>
    <col min="15883" max="16129" width="9.140625" style="12"/>
    <col min="16130" max="16130" width="9.7109375" style="12" customWidth="1"/>
    <col min="16131" max="16131" width="15.85546875" style="12" customWidth="1"/>
    <col min="16132" max="16132" width="16" style="12" customWidth="1"/>
    <col min="16133" max="16133" width="11.28515625" style="12" customWidth="1"/>
    <col min="16134" max="16134" width="12.5703125" style="12" customWidth="1"/>
    <col min="16135" max="16135" width="9.5703125" style="12" customWidth="1"/>
    <col min="16136" max="16136" width="9.140625" style="12"/>
    <col min="16137" max="16137" width="6.42578125" style="12" bestFit="1" customWidth="1"/>
    <col min="16138" max="16138" width="11" style="12" bestFit="1" customWidth="1"/>
    <col min="16139" max="16384" width="9.140625" style="12"/>
  </cols>
  <sheetData>
    <row r="1" spans="1:13" x14ac:dyDescent="0.25">
      <c r="B1" s="57"/>
      <c r="C1" s="57"/>
      <c r="D1" s="57"/>
      <c r="E1" s="57"/>
      <c r="F1" s="57"/>
      <c r="G1" s="57"/>
      <c r="H1" s="28"/>
      <c r="I1" s="28"/>
      <c r="J1" s="28"/>
      <c r="K1" s="28"/>
      <c r="L1" s="28"/>
      <c r="M1" s="28"/>
    </row>
    <row r="2" spans="1:13" x14ac:dyDescent="0.25">
      <c r="B2" s="5"/>
      <c r="C2" s="5" t="s">
        <v>4</v>
      </c>
      <c r="D2" s="28"/>
      <c r="E2" s="5"/>
      <c r="F2" s="5"/>
      <c r="G2" s="5"/>
      <c r="H2" s="28"/>
      <c r="I2" s="28"/>
      <c r="J2" s="28"/>
      <c r="K2" s="28"/>
      <c r="L2" s="28"/>
      <c r="M2" s="28"/>
    </row>
    <row r="3" spans="1:13" ht="27.75" customHeight="1" x14ac:dyDescent="0.25">
      <c r="C3" s="3" t="s">
        <v>5</v>
      </c>
      <c r="D3" s="28"/>
      <c r="E3" s="5"/>
      <c r="F3" s="5"/>
      <c r="G3" s="5"/>
      <c r="H3" s="28"/>
      <c r="I3" s="28"/>
      <c r="J3" s="28"/>
      <c r="K3" s="28"/>
      <c r="L3" s="28"/>
      <c r="M3" s="28"/>
    </row>
    <row r="4" spans="1:13" ht="19.5" customHeight="1" x14ac:dyDescent="0.25">
      <c r="B4" s="13"/>
      <c r="C4" s="13"/>
      <c r="D4" s="13"/>
      <c r="E4" s="13"/>
      <c r="F4" s="17"/>
      <c r="H4" s="28"/>
      <c r="I4" s="28"/>
      <c r="J4" s="28"/>
      <c r="K4" s="28"/>
      <c r="L4" s="28"/>
      <c r="M4" s="28"/>
    </row>
    <row r="5" spans="1:13" ht="17.25" thickBot="1" x14ac:dyDescent="0.35">
      <c r="B5" s="13"/>
      <c r="C5" s="56"/>
      <c r="D5" s="56"/>
      <c r="E5" s="56"/>
      <c r="F5" s="56"/>
      <c r="G5" s="56"/>
      <c r="H5" s="56"/>
      <c r="I5" s="28"/>
      <c r="J5" s="28"/>
      <c r="K5" s="28"/>
      <c r="L5" s="28"/>
      <c r="M5" s="28"/>
    </row>
    <row r="6" spans="1:13" ht="18" thickTop="1" x14ac:dyDescent="0.3">
      <c r="B6" s="13"/>
      <c r="C6" s="29" t="s">
        <v>109</v>
      </c>
      <c r="D6" s="29" t="s">
        <v>110</v>
      </c>
      <c r="E6" s="30"/>
      <c r="F6" s="30"/>
      <c r="G6" s="30"/>
      <c r="H6" s="30"/>
      <c r="I6" s="28"/>
      <c r="J6" s="28"/>
      <c r="K6" s="28"/>
      <c r="L6" s="28"/>
      <c r="M6" s="28"/>
    </row>
    <row r="7" spans="1:13" ht="19.5" x14ac:dyDescent="0.4">
      <c r="B7" s="13"/>
      <c r="C7" s="31" t="s">
        <v>111</v>
      </c>
      <c r="D7" s="32">
        <v>1.619</v>
      </c>
      <c r="E7" s="30"/>
      <c r="F7" s="30"/>
      <c r="G7" s="30"/>
      <c r="H7" s="30"/>
      <c r="I7" s="28"/>
      <c r="J7" s="28"/>
      <c r="K7" s="28"/>
      <c r="L7" s="28"/>
      <c r="M7" s="28"/>
    </row>
    <row r="8" spans="1:13" ht="19.5" x14ac:dyDescent="0.4">
      <c r="B8" s="13"/>
      <c r="C8" s="31" t="s">
        <v>112</v>
      </c>
      <c r="D8" s="33">
        <v>92.19</v>
      </c>
      <c r="E8" s="30"/>
      <c r="F8" s="30"/>
      <c r="G8" s="30"/>
      <c r="H8" s="30"/>
      <c r="I8" s="28"/>
      <c r="J8" s="28"/>
      <c r="K8" s="28"/>
      <c r="L8" s="28"/>
      <c r="M8" s="28"/>
    </row>
    <row r="9" spans="1:13" ht="19.5" x14ac:dyDescent="0.4">
      <c r="B9" s="13"/>
      <c r="C9" s="31"/>
      <c r="D9" s="33"/>
      <c r="E9" s="30"/>
      <c r="F9" s="30"/>
      <c r="G9" s="30"/>
      <c r="H9" s="30"/>
      <c r="I9" s="28"/>
      <c r="J9" s="28"/>
      <c r="K9" s="28"/>
      <c r="L9" s="28"/>
      <c r="M9" s="28"/>
    </row>
    <row r="10" spans="1:13" ht="19.5" x14ac:dyDescent="0.4">
      <c r="B10" s="13"/>
      <c r="C10" s="31"/>
      <c r="D10" s="33"/>
      <c r="E10" s="30"/>
      <c r="F10" s="30"/>
      <c r="G10" s="30"/>
      <c r="H10" s="30"/>
      <c r="I10" s="28"/>
      <c r="J10" s="28"/>
      <c r="K10" s="28"/>
      <c r="L10" s="28"/>
      <c r="M10" s="28"/>
    </row>
    <row r="11" spans="1:13" ht="19.5" x14ac:dyDescent="0.4">
      <c r="B11" s="5"/>
      <c r="C11" s="31"/>
      <c r="D11" s="33"/>
      <c r="E11" s="30"/>
      <c r="F11" s="30"/>
      <c r="G11" s="30"/>
      <c r="H11" s="30"/>
      <c r="I11" s="28"/>
      <c r="J11" s="28"/>
      <c r="K11" s="28"/>
      <c r="L11" s="28"/>
      <c r="M11" s="28"/>
    </row>
    <row r="12" spans="1:13" x14ac:dyDescent="0.25">
      <c r="B12" s="5"/>
      <c r="C12" s="13"/>
      <c r="D12" s="13"/>
      <c r="E12" s="30"/>
      <c r="F12" s="30"/>
      <c r="G12" s="30"/>
      <c r="H12" s="30"/>
      <c r="I12" s="28"/>
      <c r="J12" s="28"/>
      <c r="K12" s="28"/>
      <c r="L12" s="28"/>
      <c r="M12" s="28"/>
    </row>
    <row r="13" spans="1:13" x14ac:dyDescent="0.25">
      <c r="A13" s="12"/>
      <c r="D13" s="17" t="s">
        <v>126</v>
      </c>
      <c r="F13" s="17"/>
      <c r="H13" s="28"/>
      <c r="I13" s="28"/>
      <c r="J13" s="28"/>
      <c r="K13" s="28"/>
      <c r="L13" s="28"/>
      <c r="M13" s="28"/>
    </row>
    <row r="14" spans="1:13" x14ac:dyDescent="0.25">
      <c r="A14" s="12"/>
      <c r="D14" s="17" t="s">
        <v>125</v>
      </c>
      <c r="H14" s="28"/>
      <c r="I14" s="28"/>
      <c r="J14" s="28"/>
      <c r="K14" s="28"/>
      <c r="L14" s="28"/>
      <c r="M14" s="28"/>
    </row>
    <row r="15" spans="1:13" x14ac:dyDescent="0.25">
      <c r="A15" s="12"/>
      <c r="C15" s="35"/>
      <c r="D15" s="17" t="s">
        <v>127</v>
      </c>
      <c r="F15" s="36"/>
      <c r="G15" s="34"/>
      <c r="H15" s="28"/>
      <c r="I15" s="28"/>
      <c r="J15" s="28"/>
      <c r="K15" s="28"/>
      <c r="L15" s="28"/>
      <c r="M15" s="28"/>
    </row>
    <row r="16" spans="1:13" x14ac:dyDescent="0.25">
      <c r="A16" s="12"/>
      <c r="B16" s="13"/>
      <c r="C16" s="13"/>
      <c r="D16" s="13"/>
      <c r="F16" s="36"/>
      <c r="G16" s="37"/>
      <c r="I16" s="28"/>
      <c r="J16" s="28"/>
      <c r="K16" s="28"/>
      <c r="L16" s="28"/>
      <c r="M16" s="28"/>
    </row>
    <row r="17" spans="1:7" x14ac:dyDescent="0.25">
      <c r="A17" s="12"/>
      <c r="B17" s="13"/>
      <c r="C17" s="13"/>
      <c r="F17" s="38"/>
    </row>
    <row r="18" spans="1:7" x14ac:dyDescent="0.25">
      <c r="B18" s="13"/>
      <c r="C18" s="13"/>
    </row>
    <row r="19" spans="1:7" x14ac:dyDescent="0.25">
      <c r="B19" s="13"/>
      <c r="C19" s="13"/>
    </row>
    <row r="20" spans="1:7" x14ac:dyDescent="0.25">
      <c r="B20" s="13"/>
      <c r="C20" s="13"/>
    </row>
    <row r="21" spans="1:7" x14ac:dyDescent="0.25">
      <c r="B21" s="13"/>
      <c r="C21" s="14"/>
    </row>
    <row r="22" spans="1:7" x14ac:dyDescent="0.25">
      <c r="B22" s="13"/>
      <c r="C22" s="13"/>
    </row>
    <row r="23" spans="1:7" x14ac:dyDescent="0.25">
      <c r="B23" s="39"/>
      <c r="C23" s="39"/>
    </row>
    <row r="24" spans="1:7" x14ac:dyDescent="0.25">
      <c r="B24" s="39"/>
      <c r="C24" s="39"/>
      <c r="D24" s="39"/>
      <c r="E24" s="36"/>
      <c r="F24" s="17"/>
    </row>
    <row r="25" spans="1:7" x14ac:dyDescent="0.25">
      <c r="C25" s="35"/>
      <c r="D25" s="13"/>
      <c r="E25" s="27"/>
    </row>
    <row r="26" spans="1:7" x14ac:dyDescent="0.25">
      <c r="B26" s="13"/>
      <c r="C26" s="13"/>
      <c r="E26" s="40"/>
    </row>
    <row r="27" spans="1:7" x14ac:dyDescent="0.25">
      <c r="A27" s="12"/>
      <c r="B27" s="13"/>
      <c r="C27" s="13"/>
      <c r="D27" s="17"/>
      <c r="E27" s="34"/>
    </row>
    <row r="28" spans="1:7" ht="15" customHeight="1" x14ac:dyDescent="0.25">
      <c r="A28" s="12"/>
      <c r="B28" s="13"/>
      <c r="C28" s="13"/>
      <c r="D28" s="17"/>
      <c r="E28" s="34"/>
    </row>
    <row r="29" spans="1:7" x14ac:dyDescent="0.25">
      <c r="A29" s="12"/>
      <c r="B29" s="13"/>
      <c r="C29" s="13"/>
      <c r="D29" s="17"/>
      <c r="E29" s="34"/>
      <c r="F29" s="36"/>
      <c r="G29" s="34"/>
    </row>
    <row r="30" spans="1:7" x14ac:dyDescent="0.25">
      <c r="A30" s="12"/>
      <c r="B30" s="13"/>
      <c r="C30" s="14"/>
    </row>
    <row r="31" spans="1:7" x14ac:dyDescent="0.25">
      <c r="A31" s="12"/>
      <c r="B31" s="13"/>
      <c r="C31" s="13"/>
    </row>
    <row r="32" spans="1:7" x14ac:dyDescent="0.25">
      <c r="A32" s="12"/>
      <c r="B32" s="13"/>
      <c r="C32" s="13"/>
    </row>
    <row r="33" spans="1:6" x14ac:dyDescent="0.25">
      <c r="A33" s="12"/>
      <c r="E33" s="36"/>
      <c r="F33" s="17"/>
    </row>
    <row r="34" spans="1:6" x14ac:dyDescent="0.25">
      <c r="A34" s="12"/>
    </row>
    <row r="35" spans="1:6" x14ac:dyDescent="0.25">
      <c r="A35" s="12"/>
      <c r="C35" s="35"/>
      <c r="D35" s="13"/>
    </row>
    <row r="36" spans="1:6" x14ac:dyDescent="0.25">
      <c r="A36" s="12"/>
      <c r="B36" s="13"/>
      <c r="C36" s="13"/>
    </row>
    <row r="37" spans="1:6" x14ac:dyDescent="0.25">
      <c r="A37" s="12"/>
      <c r="B37" s="13"/>
      <c r="C37" s="13"/>
    </row>
    <row r="38" spans="1:6" x14ac:dyDescent="0.25">
      <c r="A38" s="12"/>
      <c r="B38" s="13"/>
      <c r="C38" s="13"/>
    </row>
    <row r="39" spans="1:6" x14ac:dyDescent="0.25">
      <c r="A39" s="12"/>
      <c r="B39" s="13"/>
      <c r="C39" s="13"/>
    </row>
    <row r="40" spans="1:6" x14ac:dyDescent="0.25">
      <c r="A40" s="12"/>
      <c r="B40" s="13"/>
      <c r="C40" s="13"/>
    </row>
    <row r="41" spans="1:6" x14ac:dyDescent="0.25">
      <c r="A41" s="12"/>
      <c r="B41" s="13"/>
      <c r="C41" s="13"/>
    </row>
    <row r="42" spans="1:6" x14ac:dyDescent="0.25">
      <c r="A42" s="12"/>
      <c r="B42" s="13"/>
      <c r="C42" s="13"/>
    </row>
    <row r="43" spans="1:6" x14ac:dyDescent="0.25">
      <c r="A43" s="12"/>
      <c r="E43" s="36"/>
      <c r="F43" s="17"/>
    </row>
    <row r="44" spans="1:6" x14ac:dyDescent="0.25">
      <c r="A44" s="12"/>
      <c r="C44" s="35"/>
      <c r="D44" s="13"/>
    </row>
    <row r="45" spans="1:6" x14ac:dyDescent="0.25">
      <c r="A45" s="12"/>
      <c r="B45" s="13"/>
      <c r="C45" s="13"/>
    </row>
    <row r="46" spans="1:6" x14ac:dyDescent="0.25">
      <c r="A46" s="12"/>
      <c r="B46" s="13"/>
      <c r="C46" s="13"/>
    </row>
    <row r="47" spans="1:6" x14ac:dyDescent="0.25">
      <c r="A47" s="12"/>
      <c r="B47" s="13"/>
      <c r="C47" s="14"/>
    </row>
    <row r="48" spans="1:6" x14ac:dyDescent="0.25">
      <c r="A48" s="12"/>
      <c r="B48" s="13"/>
      <c r="C48" s="13"/>
    </row>
    <row r="49" spans="1:6" x14ac:dyDescent="0.25">
      <c r="A49" s="12"/>
      <c r="B49" s="13"/>
      <c r="C49" s="13"/>
    </row>
    <row r="50" spans="1:6" x14ac:dyDescent="0.25">
      <c r="A50" s="12"/>
      <c r="B50" s="13"/>
      <c r="C50" s="13"/>
      <c r="D50" s="39"/>
    </row>
    <row r="51" spans="1:6" x14ac:dyDescent="0.25">
      <c r="A51" s="12"/>
    </row>
    <row r="52" spans="1:6" x14ac:dyDescent="0.25">
      <c r="A52" s="12"/>
      <c r="E52" s="36"/>
      <c r="F52" s="17"/>
    </row>
    <row r="53" spans="1:6" x14ac:dyDescent="0.25">
      <c r="A53" s="12"/>
    </row>
    <row r="54" spans="1:6" x14ac:dyDescent="0.25">
      <c r="A54" s="12"/>
      <c r="D54" s="34"/>
      <c r="E54" s="34"/>
    </row>
    <row r="55" spans="1:6" x14ac:dyDescent="0.25">
      <c r="A55" s="12"/>
    </row>
    <row r="56" spans="1:6" x14ac:dyDescent="0.25">
      <c r="A56" s="12"/>
    </row>
    <row r="57" spans="1:6" x14ac:dyDescent="0.25">
      <c r="A57" s="12"/>
    </row>
    <row r="58" spans="1:6" ht="22.5" customHeight="1" x14ac:dyDescent="0.25">
      <c r="A58" s="12"/>
    </row>
    <row r="59" spans="1:6" ht="24" customHeight="1" x14ac:dyDescent="0.25">
      <c r="A59" s="12"/>
    </row>
    <row r="60" spans="1:6" x14ac:dyDescent="0.25">
      <c r="A60" s="12"/>
    </row>
    <row r="61" spans="1:6" x14ac:dyDescent="0.25">
      <c r="A61" s="12"/>
    </row>
    <row r="62" spans="1:6" x14ac:dyDescent="0.25">
      <c r="A62" s="12"/>
    </row>
    <row r="63" spans="1:6" x14ac:dyDescent="0.25">
      <c r="A63" s="12"/>
    </row>
    <row r="64" spans="1:6" x14ac:dyDescent="0.25">
      <c r="A64" s="12"/>
    </row>
    <row r="65" spans="1:1" x14ac:dyDescent="0.25">
      <c r="A65" s="12"/>
    </row>
    <row r="66" spans="1:1" x14ac:dyDescent="0.25">
      <c r="A66" s="12"/>
    </row>
    <row r="67" spans="1:1" x14ac:dyDescent="0.25">
      <c r="A67" s="12"/>
    </row>
    <row r="68" spans="1:1" x14ac:dyDescent="0.25">
      <c r="A68" s="12"/>
    </row>
    <row r="69" spans="1:1" x14ac:dyDescent="0.25">
      <c r="A69" s="12"/>
    </row>
    <row r="70" spans="1:1" x14ac:dyDescent="0.25">
      <c r="A70" s="12"/>
    </row>
    <row r="71" spans="1:1" x14ac:dyDescent="0.25">
      <c r="A71" s="12"/>
    </row>
    <row r="72" spans="1:1" x14ac:dyDescent="0.25">
      <c r="A72" s="12"/>
    </row>
    <row r="73" spans="1:1" x14ac:dyDescent="0.25">
      <c r="A73" s="12"/>
    </row>
    <row r="74" spans="1:1" x14ac:dyDescent="0.25">
      <c r="A74" s="12"/>
    </row>
    <row r="75" spans="1:1" x14ac:dyDescent="0.25">
      <c r="A75" s="12"/>
    </row>
    <row r="76" spans="1:1" x14ac:dyDescent="0.25">
      <c r="A76" s="12"/>
    </row>
    <row r="77" spans="1:1" x14ac:dyDescent="0.25">
      <c r="A77" s="12"/>
    </row>
    <row r="78" spans="1:1" x14ac:dyDescent="0.25">
      <c r="A78" s="12"/>
    </row>
    <row r="79" spans="1:1" x14ac:dyDescent="0.25">
      <c r="A79" s="12"/>
    </row>
    <row r="80" spans="1:1" x14ac:dyDescent="0.25">
      <c r="A80" s="12"/>
    </row>
    <row r="81" spans="1:1" x14ac:dyDescent="0.25">
      <c r="A81" s="12"/>
    </row>
    <row r="82" spans="1:1" x14ac:dyDescent="0.25">
      <c r="A82" s="12"/>
    </row>
    <row r="83" spans="1:1" x14ac:dyDescent="0.25">
      <c r="A83" s="12"/>
    </row>
    <row r="84" spans="1:1" x14ac:dyDescent="0.25">
      <c r="A84" s="12"/>
    </row>
    <row r="85" spans="1:1" x14ac:dyDescent="0.25">
      <c r="A85" s="12"/>
    </row>
    <row r="86" spans="1:1" x14ac:dyDescent="0.25">
      <c r="A86" s="12"/>
    </row>
    <row r="87" spans="1:1" x14ac:dyDescent="0.25">
      <c r="A87" s="12"/>
    </row>
    <row r="88" spans="1:1" x14ac:dyDescent="0.25">
      <c r="A88" s="12"/>
    </row>
    <row r="89" spans="1:1" x14ac:dyDescent="0.25">
      <c r="A89" s="12"/>
    </row>
    <row r="90" spans="1:1" x14ac:dyDescent="0.25">
      <c r="A90" s="12"/>
    </row>
    <row r="91" spans="1:1" x14ac:dyDescent="0.25">
      <c r="A91" s="12"/>
    </row>
    <row r="92" spans="1:1" x14ac:dyDescent="0.25">
      <c r="A92" s="12"/>
    </row>
    <row r="93" spans="1:1" x14ac:dyDescent="0.25">
      <c r="A93" s="12"/>
    </row>
    <row r="94" spans="1:1" x14ac:dyDescent="0.25">
      <c r="A94" s="12"/>
    </row>
    <row r="95" spans="1:1" x14ac:dyDescent="0.25">
      <c r="A95" s="12"/>
    </row>
    <row r="96" spans="1:1" x14ac:dyDescent="0.25">
      <c r="A96" s="12"/>
    </row>
    <row r="97" spans="1:1" x14ac:dyDescent="0.25">
      <c r="A97" s="12"/>
    </row>
    <row r="98" spans="1:1" x14ac:dyDescent="0.25">
      <c r="A98" s="12"/>
    </row>
    <row r="99" spans="1:1" x14ac:dyDescent="0.25">
      <c r="A99" s="12"/>
    </row>
    <row r="100" spans="1:1" x14ac:dyDescent="0.25">
      <c r="A100" s="12"/>
    </row>
    <row r="101" spans="1:1" x14ac:dyDescent="0.25">
      <c r="A101" s="12"/>
    </row>
    <row r="102" spans="1:1" x14ac:dyDescent="0.25">
      <c r="A102" s="12"/>
    </row>
    <row r="103" spans="1:1" x14ac:dyDescent="0.25">
      <c r="A103" s="12"/>
    </row>
    <row r="104" spans="1:1" x14ac:dyDescent="0.25">
      <c r="A104" s="12"/>
    </row>
    <row r="105" spans="1:1" x14ac:dyDescent="0.25">
      <c r="A105" s="12"/>
    </row>
    <row r="106" spans="1:1" x14ac:dyDescent="0.25">
      <c r="A106" s="12"/>
    </row>
    <row r="107" spans="1:1" x14ac:dyDescent="0.25">
      <c r="A107" s="12"/>
    </row>
    <row r="108" spans="1:1" x14ac:dyDescent="0.25">
      <c r="A108" s="12"/>
    </row>
    <row r="109" spans="1:1" x14ac:dyDescent="0.25">
      <c r="A109" s="12"/>
    </row>
    <row r="110" spans="1:1" x14ac:dyDescent="0.25">
      <c r="A110" s="12"/>
    </row>
    <row r="111" spans="1:1" x14ac:dyDescent="0.25">
      <c r="A111" s="12"/>
    </row>
    <row r="112" spans="1:1" x14ac:dyDescent="0.25">
      <c r="A112" s="12"/>
    </row>
    <row r="113" spans="1:1" x14ac:dyDescent="0.25">
      <c r="A113" s="12"/>
    </row>
    <row r="114" spans="1:1" x14ac:dyDescent="0.25">
      <c r="A114" s="12"/>
    </row>
    <row r="115" spans="1:1" x14ac:dyDescent="0.25">
      <c r="A115" s="12"/>
    </row>
    <row r="116" spans="1:1" x14ac:dyDescent="0.25">
      <c r="A116" s="12"/>
    </row>
    <row r="117" spans="1:1" x14ac:dyDescent="0.25">
      <c r="A117" s="12"/>
    </row>
    <row r="118" spans="1:1" x14ac:dyDescent="0.25">
      <c r="A118" s="12"/>
    </row>
    <row r="119" spans="1:1" x14ac:dyDescent="0.25">
      <c r="A119" s="12"/>
    </row>
    <row r="120" spans="1:1" x14ac:dyDescent="0.25">
      <c r="A120" s="12"/>
    </row>
    <row r="121" spans="1:1" x14ac:dyDescent="0.25">
      <c r="A121" s="12"/>
    </row>
    <row r="122" spans="1:1" x14ac:dyDescent="0.25">
      <c r="A122" s="12"/>
    </row>
    <row r="123" spans="1:1" x14ac:dyDescent="0.25">
      <c r="A123" s="12"/>
    </row>
    <row r="124" spans="1:1" x14ac:dyDescent="0.25">
      <c r="A124" s="12"/>
    </row>
    <row r="125" spans="1:1" x14ac:dyDescent="0.25">
      <c r="A125" s="12"/>
    </row>
    <row r="126" spans="1:1" x14ac:dyDescent="0.25">
      <c r="A126" s="12"/>
    </row>
    <row r="127" spans="1:1" x14ac:dyDescent="0.25">
      <c r="A127" s="12"/>
    </row>
    <row r="128" spans="1:1" x14ac:dyDescent="0.25">
      <c r="A128" s="12"/>
    </row>
    <row r="129" spans="1:1" x14ac:dyDescent="0.25">
      <c r="A129" s="12"/>
    </row>
    <row r="130" spans="1:1" x14ac:dyDescent="0.25">
      <c r="A130" s="12"/>
    </row>
    <row r="131" spans="1:1" x14ac:dyDescent="0.25">
      <c r="A131" s="12"/>
    </row>
    <row r="132" spans="1:1" x14ac:dyDescent="0.25">
      <c r="A132" s="12"/>
    </row>
    <row r="133" spans="1:1" x14ac:dyDescent="0.25">
      <c r="A133" s="12"/>
    </row>
    <row r="134" spans="1:1" x14ac:dyDescent="0.25">
      <c r="A134" s="12"/>
    </row>
    <row r="135" spans="1:1" x14ac:dyDescent="0.25">
      <c r="A135" s="12"/>
    </row>
    <row r="136" spans="1:1" x14ac:dyDescent="0.25">
      <c r="A136" s="12"/>
    </row>
    <row r="137" spans="1:1" x14ac:dyDescent="0.25">
      <c r="A137" s="12"/>
    </row>
    <row r="138" spans="1:1" x14ac:dyDescent="0.25">
      <c r="A138" s="12"/>
    </row>
    <row r="139" spans="1:1" x14ac:dyDescent="0.25">
      <c r="A139" s="12"/>
    </row>
    <row r="140" spans="1:1" x14ac:dyDescent="0.25">
      <c r="A140" s="12"/>
    </row>
    <row r="141" spans="1:1" x14ac:dyDescent="0.25">
      <c r="A141" s="12"/>
    </row>
    <row r="142" spans="1:1" x14ac:dyDescent="0.25">
      <c r="A142" s="12"/>
    </row>
    <row r="143" spans="1:1" x14ac:dyDescent="0.25">
      <c r="A143" s="12"/>
    </row>
    <row r="144" spans="1:1" x14ac:dyDescent="0.25">
      <c r="A144" s="12"/>
    </row>
    <row r="145" spans="1:1" x14ac:dyDescent="0.25">
      <c r="A145" s="12"/>
    </row>
    <row r="146" spans="1:1" x14ac:dyDescent="0.25">
      <c r="A146" s="12"/>
    </row>
    <row r="147" spans="1:1" x14ac:dyDescent="0.25">
      <c r="A147" s="12"/>
    </row>
    <row r="148" spans="1:1" x14ac:dyDescent="0.25">
      <c r="A148" s="12"/>
    </row>
    <row r="149" spans="1:1" x14ac:dyDescent="0.25">
      <c r="A149" s="12"/>
    </row>
    <row r="150" spans="1:1" x14ac:dyDescent="0.25">
      <c r="A150" s="12"/>
    </row>
    <row r="151" spans="1:1" x14ac:dyDescent="0.25">
      <c r="A151" s="12"/>
    </row>
    <row r="152" spans="1:1" x14ac:dyDescent="0.25">
      <c r="A152" s="12"/>
    </row>
    <row r="153" spans="1:1" x14ac:dyDescent="0.25">
      <c r="A153" s="12"/>
    </row>
    <row r="154" spans="1:1" x14ac:dyDescent="0.25">
      <c r="A154" s="12"/>
    </row>
    <row r="155" spans="1:1" x14ac:dyDescent="0.25">
      <c r="A155" s="12"/>
    </row>
    <row r="156" spans="1:1" x14ac:dyDescent="0.25">
      <c r="A156" s="12"/>
    </row>
    <row r="157" spans="1:1" x14ac:dyDescent="0.25">
      <c r="A157" s="12"/>
    </row>
    <row r="158" spans="1:1" x14ac:dyDescent="0.25">
      <c r="A158" s="12"/>
    </row>
  </sheetData>
  <mergeCells count="2">
    <mergeCell ref="B1:G1"/>
    <mergeCell ref="C5:H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REPORT</vt:lpstr>
      <vt:lpstr>INDEX TO COMPUTATIONS</vt:lpstr>
      <vt:lpstr>FINAL COORDINATE LIST</vt:lpstr>
      <vt:lpstr>DATUM JOINS</vt:lpstr>
      <vt:lpstr>CONSISTENCY OF DATUM</vt:lpstr>
      <vt:lpstr>THEORETICALS</vt:lpstr>
      <vt:lpstr>RTK RESULT</vt:lpstr>
      <vt:lpstr>CONSISTENCY CHECKS</vt:lpstr>
      <vt:lpstr>AREAS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2025-09-26T07:45:37Z</dcterms:created>
  <dcterms:modified xsi:type="dcterms:W3CDTF">2025-09-30T05:57:34Z</dcterms:modified>
</cp:coreProperties>
</file>