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ers\User\Desktop\SURVEYOR HILLARY\2025 WORKS\complete\5 acres\5 ACRES\"/>
    </mc:Choice>
  </mc:AlternateContent>
  <xr:revisionPtr revIDLastSave="0" documentId="13_ncr:1_{F37620FB-F879-44FA-8F7F-680DE0AEEC89}" xr6:coauthVersionLast="47" xr6:coauthVersionMax="47" xr10:uidLastSave="{00000000-0000-0000-0000-000000000000}"/>
  <bookViews>
    <workbookView xWindow="12000" yWindow="0" windowWidth="12000" windowHeight="12900" firstSheet="5" activeTab="6" xr2:uid="{C85E96EC-D14F-49E6-8E3A-CC7C9855A3B0}"/>
  </bookViews>
  <sheets>
    <sheet name="INDEX " sheetId="9" r:id="rId1"/>
    <sheet name="FINAL COORDNIATE LIST" sheetId="10" r:id="rId2"/>
    <sheet name="DATUM JOINS" sheetId="2" r:id="rId3"/>
    <sheet name="CONSISTENCY OF DATUM" sheetId="3" r:id="rId4"/>
    <sheet name="THEORETICALS" sheetId="4" r:id="rId5"/>
    <sheet name="RTK RESULT" sheetId="5" r:id="rId6"/>
    <sheet name="CONSISTENCY CHECKS" sheetId="6" r:id="rId7"/>
    <sheet name="AREA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84" i="6" l="1"/>
  <c r="E784" i="6"/>
  <c r="C783" i="6"/>
  <c r="B783" i="6"/>
  <c r="F779" i="6"/>
  <c r="E779" i="6"/>
  <c r="C778" i="6"/>
  <c r="B778" i="6"/>
  <c r="F774" i="6"/>
  <c r="E774" i="6"/>
  <c r="C773" i="6"/>
  <c r="B773" i="6"/>
  <c r="F769" i="6"/>
  <c r="E769" i="6"/>
  <c r="C768" i="6"/>
  <c r="B768" i="6"/>
  <c r="F764" i="6"/>
  <c r="E764" i="6"/>
  <c r="C763" i="6"/>
  <c r="B763" i="6"/>
  <c r="F759" i="6"/>
  <c r="E759" i="6"/>
  <c r="C758" i="6"/>
  <c r="B758" i="6"/>
  <c r="F754" i="6"/>
  <c r="E754" i="6"/>
  <c r="C753" i="6"/>
  <c r="B753" i="6"/>
  <c r="F749" i="6"/>
  <c r="E749" i="6"/>
  <c r="C748" i="6"/>
  <c r="B748" i="6"/>
  <c r="F744" i="6"/>
  <c r="E744" i="6"/>
  <c r="C743" i="6"/>
  <c r="B743" i="6"/>
  <c r="F739" i="6"/>
  <c r="E739" i="6"/>
  <c r="C738" i="6"/>
  <c r="B738" i="6"/>
  <c r="F734" i="6"/>
  <c r="E734" i="6"/>
  <c r="C733" i="6"/>
  <c r="B733" i="6"/>
  <c r="F729" i="6"/>
  <c r="E729" i="6"/>
  <c r="C728" i="6"/>
  <c r="B728" i="6"/>
  <c r="F724" i="6"/>
  <c r="E724" i="6"/>
  <c r="C723" i="6"/>
  <c r="B723" i="6"/>
  <c r="F719" i="6"/>
  <c r="E719" i="6"/>
  <c r="C718" i="6"/>
  <c r="B718" i="6"/>
  <c r="F714" i="6"/>
  <c r="E714" i="6"/>
  <c r="C713" i="6"/>
  <c r="B713" i="6"/>
  <c r="F709" i="6"/>
  <c r="E709" i="6"/>
  <c r="C708" i="6"/>
  <c r="B708" i="6"/>
  <c r="F704" i="6"/>
  <c r="E704" i="6"/>
  <c r="C703" i="6"/>
  <c r="B703" i="6"/>
  <c r="F699" i="6"/>
  <c r="E699" i="6"/>
  <c r="C698" i="6"/>
  <c r="B698" i="6"/>
  <c r="F694" i="6"/>
  <c r="E694" i="6"/>
  <c r="C693" i="6"/>
  <c r="B693" i="6"/>
  <c r="F689" i="6"/>
  <c r="E689" i="6"/>
  <c r="C688" i="6"/>
  <c r="B688" i="6"/>
  <c r="F684" i="6"/>
  <c r="E684" i="6"/>
  <c r="C683" i="6"/>
  <c r="B683" i="6"/>
  <c r="F679" i="6"/>
  <c r="E679" i="6"/>
  <c r="C678" i="6"/>
  <c r="B678" i="6"/>
  <c r="F672" i="6"/>
  <c r="E672" i="6"/>
  <c r="C671" i="6"/>
  <c r="B671" i="6"/>
  <c r="F667" i="6"/>
  <c r="E667" i="6"/>
  <c r="C666" i="6"/>
  <c r="B666" i="6"/>
  <c r="F662" i="6"/>
  <c r="E662" i="6"/>
  <c r="C661" i="6"/>
  <c r="B661" i="6"/>
  <c r="F657" i="6"/>
  <c r="E657" i="6"/>
  <c r="C656" i="6"/>
  <c r="B656" i="6"/>
  <c r="F652" i="6"/>
  <c r="E652" i="6"/>
  <c r="C651" i="6"/>
  <c r="B651" i="6"/>
  <c r="F647" i="6"/>
  <c r="E647" i="6"/>
  <c r="C646" i="6"/>
  <c r="B646" i="6"/>
  <c r="F642" i="6"/>
  <c r="E642" i="6"/>
  <c r="C641" i="6"/>
  <c r="B641" i="6"/>
  <c r="F637" i="6"/>
  <c r="E637" i="6"/>
  <c r="C636" i="6"/>
  <c r="B636" i="6"/>
  <c r="F632" i="6"/>
  <c r="E632" i="6"/>
  <c r="C631" i="6"/>
  <c r="B631" i="6"/>
  <c r="F627" i="6"/>
  <c r="E627" i="6"/>
  <c r="C626" i="6"/>
  <c r="B626" i="6"/>
  <c r="F622" i="6"/>
  <c r="E622" i="6"/>
  <c r="C621" i="6"/>
  <c r="B621" i="6"/>
  <c r="F617" i="6"/>
  <c r="E617" i="6"/>
  <c r="C616" i="6"/>
  <c r="B616" i="6"/>
  <c r="F612" i="6"/>
  <c r="E612" i="6"/>
  <c r="C611" i="6"/>
  <c r="B611" i="6"/>
  <c r="F607" i="6"/>
  <c r="E607" i="6"/>
  <c r="C606" i="6"/>
  <c r="B606" i="6"/>
  <c r="F602" i="6"/>
  <c r="E602" i="6"/>
  <c r="C601" i="6"/>
  <c r="B601" i="6"/>
  <c r="F597" i="6"/>
  <c r="E597" i="6"/>
  <c r="C596" i="6"/>
  <c r="B596" i="6"/>
  <c r="F592" i="6"/>
  <c r="E592" i="6"/>
  <c r="C591" i="6"/>
  <c r="B591" i="6"/>
  <c r="F587" i="6"/>
  <c r="E587" i="6"/>
  <c r="C586" i="6"/>
  <c r="B586" i="6"/>
  <c r="F582" i="6"/>
  <c r="E582" i="6"/>
  <c r="C581" i="6"/>
  <c r="B581" i="6"/>
  <c r="F575" i="6"/>
  <c r="E575" i="6"/>
  <c r="C574" i="6"/>
  <c r="B574" i="6"/>
  <c r="F570" i="6"/>
  <c r="E570" i="6"/>
  <c r="C569" i="6"/>
  <c r="B569" i="6"/>
  <c r="F565" i="6"/>
  <c r="E565" i="6"/>
  <c r="C564" i="6"/>
  <c r="B564" i="6"/>
  <c r="F560" i="6"/>
  <c r="E560" i="6"/>
  <c r="C559" i="6"/>
  <c r="B559" i="6"/>
  <c r="F555" i="6"/>
  <c r="E555" i="6"/>
  <c r="C554" i="6"/>
  <c r="B554" i="6"/>
  <c r="F550" i="6"/>
  <c r="E550" i="6"/>
  <c r="C549" i="6"/>
  <c r="B549" i="6"/>
  <c r="F545" i="6"/>
  <c r="E545" i="6"/>
  <c r="C544" i="6"/>
  <c r="B544" i="6"/>
  <c r="F540" i="6"/>
  <c r="E540" i="6"/>
  <c r="C539" i="6"/>
  <c r="B539" i="6"/>
  <c r="F535" i="6"/>
  <c r="E535" i="6"/>
  <c r="C534" i="6"/>
  <c r="B534" i="6"/>
  <c r="F530" i="6"/>
  <c r="E530" i="6"/>
  <c r="C529" i="6"/>
  <c r="B529" i="6"/>
  <c r="F525" i="6"/>
  <c r="E525" i="6"/>
  <c r="C524" i="6"/>
  <c r="B524" i="6"/>
  <c r="F520" i="6"/>
  <c r="E520" i="6"/>
  <c r="C519" i="6"/>
  <c r="B519" i="6"/>
  <c r="F515" i="6"/>
  <c r="E515" i="6"/>
  <c r="C514" i="6"/>
  <c r="B514" i="6"/>
  <c r="F510" i="6"/>
  <c r="E510" i="6"/>
  <c r="C509" i="6"/>
  <c r="B509" i="6"/>
  <c r="F505" i="6"/>
  <c r="E505" i="6"/>
  <c r="C504" i="6"/>
  <c r="B504" i="6"/>
  <c r="F500" i="6"/>
  <c r="E500" i="6"/>
  <c r="C499" i="6"/>
  <c r="B499" i="6"/>
  <c r="F495" i="6"/>
  <c r="E495" i="6"/>
  <c r="C494" i="6"/>
  <c r="B494" i="6"/>
  <c r="F490" i="6"/>
  <c r="E490" i="6"/>
  <c r="C489" i="6"/>
  <c r="B489" i="6"/>
  <c r="F485" i="6"/>
  <c r="E485" i="6"/>
  <c r="C484" i="6"/>
  <c r="B484" i="6"/>
  <c r="F478" i="6"/>
  <c r="E478" i="6"/>
  <c r="C477" i="6"/>
  <c r="B477" i="6"/>
  <c r="F473" i="6"/>
  <c r="E473" i="6"/>
  <c r="C472" i="6"/>
  <c r="B472" i="6"/>
  <c r="F468" i="6"/>
  <c r="E468" i="6"/>
  <c r="C467" i="6"/>
  <c r="B467" i="6"/>
  <c r="F463" i="6"/>
  <c r="E463" i="6"/>
  <c r="C462" i="6"/>
  <c r="B462" i="6"/>
  <c r="F458" i="6"/>
  <c r="E458" i="6"/>
  <c r="C457" i="6"/>
  <c r="B457" i="6"/>
  <c r="F453" i="6"/>
  <c r="E453" i="6"/>
  <c r="C452" i="6"/>
  <c r="B452" i="6"/>
  <c r="F448" i="6"/>
  <c r="E448" i="6"/>
  <c r="C447" i="6"/>
  <c r="B447" i="6"/>
  <c r="F443" i="6"/>
  <c r="E443" i="6"/>
  <c r="C442" i="6"/>
  <c r="B442" i="6"/>
  <c r="F438" i="6"/>
  <c r="E438" i="6"/>
  <c r="C437" i="6"/>
  <c r="B437" i="6"/>
  <c r="F433" i="6"/>
  <c r="E433" i="6"/>
  <c r="C432" i="6"/>
  <c r="B432" i="6"/>
  <c r="F428" i="6"/>
  <c r="E428" i="6"/>
  <c r="C427" i="6"/>
  <c r="B427" i="6"/>
  <c r="F423" i="6"/>
  <c r="E423" i="6"/>
  <c r="C422" i="6"/>
  <c r="B422" i="6"/>
  <c r="F418" i="6"/>
  <c r="E418" i="6"/>
  <c r="C417" i="6"/>
  <c r="B417" i="6"/>
  <c r="F413" i="6"/>
  <c r="E413" i="6"/>
  <c r="C412" i="6"/>
  <c r="B412" i="6"/>
  <c r="F408" i="6"/>
  <c r="E408" i="6"/>
  <c r="C407" i="6"/>
  <c r="B407" i="6"/>
  <c r="F403" i="6"/>
  <c r="E403" i="6"/>
  <c r="C402" i="6"/>
  <c r="B402" i="6"/>
  <c r="F398" i="6"/>
  <c r="E398" i="6"/>
  <c r="C397" i="6"/>
  <c r="B397" i="6"/>
  <c r="F393" i="6"/>
  <c r="E393" i="6"/>
  <c r="C392" i="6"/>
  <c r="B392" i="6"/>
  <c r="F388" i="6"/>
  <c r="E388" i="6"/>
  <c r="C387" i="6"/>
  <c r="B387" i="6"/>
  <c r="F381" i="6"/>
  <c r="E381" i="6"/>
  <c r="C380" i="6"/>
  <c r="B380" i="6"/>
  <c r="F376" i="6"/>
  <c r="E376" i="6"/>
  <c r="C375" i="6"/>
  <c r="B375" i="6"/>
  <c r="F371" i="6"/>
  <c r="E371" i="6"/>
  <c r="C370" i="6"/>
  <c r="B370" i="6"/>
  <c r="F366" i="6"/>
  <c r="E366" i="6"/>
  <c r="C365" i="6"/>
  <c r="B365" i="6"/>
  <c r="F361" i="6"/>
  <c r="E361" i="6"/>
  <c r="C360" i="6"/>
  <c r="B360" i="6"/>
  <c r="F356" i="6"/>
  <c r="E356" i="6"/>
  <c r="C355" i="6"/>
  <c r="B355" i="6"/>
  <c r="F351" i="6"/>
  <c r="E351" i="6"/>
  <c r="C350" i="6"/>
  <c r="B350" i="6"/>
  <c r="F346" i="6"/>
  <c r="E346" i="6"/>
  <c r="C345" i="6"/>
  <c r="B345" i="6"/>
  <c r="F341" i="6"/>
  <c r="E341" i="6"/>
  <c r="C340" i="6"/>
  <c r="B340" i="6"/>
  <c r="F336" i="6"/>
  <c r="E336" i="6"/>
  <c r="C335" i="6"/>
  <c r="B335" i="6"/>
  <c r="F331" i="6"/>
  <c r="E331" i="6"/>
  <c r="C330" i="6"/>
  <c r="B330" i="6"/>
  <c r="F326" i="6"/>
  <c r="E326" i="6"/>
  <c r="C325" i="6"/>
  <c r="B325" i="6"/>
  <c r="F321" i="6"/>
  <c r="E321" i="6"/>
  <c r="C320" i="6"/>
  <c r="B320" i="6"/>
  <c r="F316" i="6"/>
  <c r="E316" i="6"/>
  <c r="C315" i="6"/>
  <c r="B315" i="6"/>
  <c r="F311" i="6"/>
  <c r="E311" i="6"/>
  <c r="C310" i="6"/>
  <c r="B310" i="6"/>
  <c r="F306" i="6"/>
  <c r="E306" i="6"/>
  <c r="C305" i="6"/>
  <c r="B305" i="6"/>
  <c r="F301" i="6"/>
  <c r="E301" i="6"/>
  <c r="C300" i="6"/>
  <c r="B300" i="6"/>
  <c r="F296" i="6"/>
  <c r="E296" i="6"/>
  <c r="C295" i="6"/>
  <c r="B295" i="6"/>
  <c r="F291" i="6"/>
  <c r="E291" i="6"/>
  <c r="C290" i="6"/>
  <c r="B290" i="6"/>
  <c r="F284" i="6"/>
  <c r="E284" i="6"/>
  <c r="C283" i="6"/>
  <c r="B283" i="6"/>
  <c r="F279" i="6"/>
  <c r="E279" i="6"/>
  <c r="C278" i="6"/>
  <c r="B278" i="6"/>
  <c r="F274" i="6"/>
  <c r="E274" i="6"/>
  <c r="C273" i="6"/>
  <c r="B273" i="6"/>
  <c r="F269" i="6"/>
  <c r="E269" i="6"/>
  <c r="C268" i="6"/>
  <c r="B268" i="6"/>
  <c r="F264" i="6"/>
  <c r="E264" i="6"/>
  <c r="C263" i="6"/>
  <c r="B263" i="6"/>
  <c r="F259" i="6"/>
  <c r="E259" i="6"/>
  <c r="C258" i="6"/>
  <c r="B258" i="6"/>
  <c r="F254" i="6"/>
  <c r="E254" i="6"/>
  <c r="C253" i="6"/>
  <c r="B253" i="6"/>
  <c r="F249" i="6"/>
  <c r="E249" i="6"/>
  <c r="C248" i="6"/>
  <c r="B248" i="6"/>
  <c r="F244" i="6"/>
  <c r="E244" i="6"/>
  <c r="C243" i="6"/>
  <c r="B243" i="6"/>
  <c r="F239" i="6"/>
  <c r="E239" i="6"/>
  <c r="C238" i="6"/>
  <c r="B238" i="6"/>
  <c r="F234" i="6"/>
  <c r="E234" i="6"/>
  <c r="C233" i="6"/>
  <c r="B233" i="6"/>
  <c r="F229" i="6"/>
  <c r="E229" i="6"/>
  <c r="C228" i="6"/>
  <c r="B228" i="6"/>
  <c r="F224" i="6"/>
  <c r="E224" i="6"/>
  <c r="C223" i="6"/>
  <c r="B223" i="6"/>
  <c r="F219" i="6"/>
  <c r="E219" i="6"/>
  <c r="C218" i="6"/>
  <c r="B218" i="6"/>
  <c r="F214" i="6"/>
  <c r="E214" i="6"/>
  <c r="C213" i="6"/>
  <c r="B213" i="6"/>
  <c r="F209" i="6"/>
  <c r="E209" i="6"/>
  <c r="C208" i="6"/>
  <c r="B208" i="6"/>
  <c r="F204" i="6"/>
  <c r="E204" i="6"/>
  <c r="C203" i="6"/>
  <c r="B203" i="6"/>
  <c r="F199" i="6"/>
  <c r="E199" i="6"/>
  <c r="C198" i="6"/>
  <c r="B198" i="6"/>
  <c r="F194" i="6"/>
  <c r="E194" i="6"/>
  <c r="C193" i="6"/>
  <c r="B193" i="6"/>
  <c r="F187" i="6"/>
  <c r="E187" i="6"/>
  <c r="C186" i="6"/>
  <c r="B186" i="6"/>
  <c r="F182" i="6"/>
  <c r="E182" i="6"/>
  <c r="C181" i="6"/>
  <c r="B181" i="6"/>
  <c r="F177" i="6"/>
  <c r="E177" i="6"/>
  <c r="C176" i="6"/>
  <c r="B176" i="6"/>
  <c r="F172" i="6"/>
  <c r="E172" i="6"/>
  <c r="C171" i="6"/>
  <c r="B171" i="6"/>
  <c r="F167" i="6"/>
  <c r="E167" i="6"/>
  <c r="C166" i="6"/>
  <c r="B166" i="6"/>
  <c r="F162" i="6"/>
  <c r="E162" i="6"/>
  <c r="C161" i="6"/>
  <c r="B161" i="6"/>
  <c r="F157" i="6"/>
  <c r="E157" i="6"/>
  <c r="C156" i="6"/>
  <c r="B156" i="6"/>
  <c r="F152" i="6"/>
  <c r="E152" i="6"/>
  <c r="C151" i="6"/>
  <c r="B151" i="6"/>
  <c r="F147" i="6"/>
  <c r="E147" i="6"/>
  <c r="C146" i="6"/>
  <c r="B146" i="6"/>
  <c r="F142" i="6"/>
  <c r="E142" i="6"/>
  <c r="C141" i="6"/>
  <c r="B141" i="6"/>
  <c r="F137" i="6"/>
  <c r="E137" i="6"/>
  <c r="C136" i="6"/>
  <c r="B136" i="6"/>
  <c r="F132" i="6"/>
  <c r="E132" i="6"/>
  <c r="C131" i="6"/>
  <c r="B131" i="6"/>
  <c r="F127" i="6"/>
  <c r="E127" i="6"/>
  <c r="C126" i="6"/>
  <c r="B126" i="6"/>
  <c r="F122" i="6"/>
  <c r="E122" i="6"/>
  <c r="C121" i="6"/>
  <c r="B121" i="6"/>
  <c r="F117" i="6"/>
  <c r="E117" i="6"/>
  <c r="C116" i="6"/>
  <c r="B116" i="6"/>
  <c r="F112" i="6"/>
  <c r="E112" i="6"/>
  <c r="C111" i="6"/>
  <c r="B111" i="6"/>
  <c r="F107" i="6"/>
  <c r="E107" i="6"/>
  <c r="C106" i="6"/>
  <c r="B106" i="6"/>
  <c r="F102" i="6"/>
  <c r="E102" i="6"/>
  <c r="C101" i="6"/>
  <c r="B101" i="6"/>
  <c r="F97" i="6"/>
  <c r="E97" i="6"/>
  <c r="C96" i="6"/>
  <c r="B96" i="6"/>
  <c r="F90" i="6"/>
  <c r="E90" i="6"/>
  <c r="C89" i="6"/>
  <c r="B89" i="6"/>
  <c r="F85" i="6"/>
  <c r="E85" i="6"/>
  <c r="C84" i="6"/>
  <c r="B84" i="6"/>
  <c r="F80" i="6"/>
  <c r="E80" i="6"/>
  <c r="C79" i="6"/>
  <c r="B79" i="6"/>
  <c r="F75" i="6"/>
  <c r="E75" i="6"/>
  <c r="C74" i="6"/>
  <c r="B74" i="6"/>
  <c r="F70" i="6"/>
  <c r="E70" i="6"/>
  <c r="C69" i="6"/>
  <c r="B69" i="6"/>
  <c r="F65" i="6"/>
  <c r="E65" i="6"/>
  <c r="C64" i="6"/>
  <c r="B64" i="6"/>
  <c r="F60" i="6"/>
  <c r="E60" i="6"/>
  <c r="C59" i="6"/>
  <c r="B59" i="6"/>
  <c r="F55" i="6"/>
  <c r="E55" i="6"/>
  <c r="C54" i="6"/>
  <c r="B54" i="6"/>
  <c r="F50" i="6"/>
  <c r="E50" i="6"/>
  <c r="C49" i="6"/>
  <c r="B49" i="6"/>
  <c r="F45" i="6"/>
  <c r="E45" i="6"/>
  <c r="C44" i="6"/>
  <c r="B44" i="6"/>
  <c r="F40" i="6"/>
  <c r="E40" i="6"/>
  <c r="C39" i="6"/>
  <c r="B39" i="6"/>
  <c r="F35" i="6"/>
  <c r="E35" i="6"/>
  <c r="C34" i="6"/>
  <c r="B34" i="6"/>
  <c r="F30" i="6"/>
  <c r="E30" i="6"/>
  <c r="C29" i="6"/>
  <c r="B29" i="6"/>
  <c r="F25" i="6"/>
  <c r="E25" i="6"/>
  <c r="C24" i="6"/>
  <c r="B24" i="6"/>
  <c r="F20" i="6"/>
  <c r="E20" i="6"/>
  <c r="C19" i="6"/>
  <c r="B19" i="6"/>
  <c r="F15" i="6"/>
  <c r="E15" i="6"/>
  <c r="C14" i="6"/>
  <c r="B14" i="6"/>
  <c r="F10" i="6"/>
  <c r="E10" i="6"/>
  <c r="C9" i="6"/>
  <c r="B9" i="6"/>
  <c r="C4" i="6"/>
  <c r="B4" i="6"/>
  <c r="C633" i="4"/>
  <c r="B633" i="4"/>
  <c r="C629" i="4"/>
  <c r="B629" i="4"/>
  <c r="C625" i="4"/>
  <c r="B625" i="4"/>
  <c r="C621" i="4"/>
  <c r="B621" i="4"/>
  <c r="C617" i="4"/>
  <c r="B617" i="4"/>
  <c r="C613" i="4"/>
  <c r="B613" i="4"/>
  <c r="C609" i="4"/>
  <c r="B609" i="4"/>
  <c r="C605" i="4"/>
  <c r="B605" i="4"/>
  <c r="C601" i="4"/>
  <c r="B601" i="4"/>
  <c r="C597" i="4"/>
  <c r="B597" i="4"/>
  <c r="C593" i="4"/>
  <c r="B593" i="4"/>
  <c r="C589" i="4"/>
  <c r="B589" i="4"/>
  <c r="C585" i="4"/>
  <c r="B585" i="4"/>
  <c r="C581" i="4"/>
  <c r="B581" i="4"/>
  <c r="C577" i="4"/>
  <c r="B577" i="4"/>
  <c r="C573" i="4"/>
  <c r="B573" i="4"/>
  <c r="C569" i="4"/>
  <c r="B569" i="4"/>
  <c r="C565" i="4"/>
  <c r="B565" i="4"/>
  <c r="C561" i="4"/>
  <c r="B561" i="4"/>
  <c r="C557" i="4"/>
  <c r="B557" i="4"/>
  <c r="C553" i="4"/>
  <c r="B553" i="4"/>
  <c r="C549" i="4"/>
  <c r="B549" i="4"/>
  <c r="C542" i="4"/>
  <c r="B542" i="4"/>
  <c r="C538" i="4"/>
  <c r="B538" i="4"/>
  <c r="C534" i="4"/>
  <c r="B534" i="4"/>
  <c r="C530" i="4"/>
  <c r="B530" i="4"/>
  <c r="C526" i="4"/>
  <c r="B526" i="4"/>
  <c r="C522" i="4"/>
  <c r="B522" i="4"/>
  <c r="C518" i="4"/>
  <c r="B518" i="4"/>
  <c r="C514" i="4"/>
  <c r="B514" i="4"/>
  <c r="C510" i="4"/>
  <c r="B510" i="4"/>
  <c r="C506" i="4"/>
  <c r="B506" i="4"/>
  <c r="C502" i="4"/>
  <c r="B502" i="4"/>
  <c r="C498" i="4"/>
  <c r="B498" i="4"/>
  <c r="C494" i="4"/>
  <c r="B494" i="4"/>
  <c r="C490" i="4"/>
  <c r="B490" i="4"/>
  <c r="C486" i="4"/>
  <c r="B486" i="4"/>
  <c r="C482" i="4"/>
  <c r="B482" i="4"/>
  <c r="C478" i="4"/>
  <c r="B478" i="4"/>
  <c r="C474" i="4"/>
  <c r="B474" i="4"/>
  <c r="C470" i="4"/>
  <c r="B470" i="4"/>
  <c r="C463" i="4"/>
  <c r="B463" i="4"/>
  <c r="C459" i="4"/>
  <c r="B459" i="4"/>
  <c r="C455" i="4"/>
  <c r="B455" i="4"/>
  <c r="C451" i="4"/>
  <c r="B451" i="4"/>
  <c r="C447" i="4"/>
  <c r="B447" i="4"/>
  <c r="C443" i="4"/>
  <c r="B443" i="4"/>
  <c r="C439" i="4"/>
  <c r="B439" i="4"/>
  <c r="C435" i="4"/>
  <c r="B435" i="4"/>
  <c r="C431" i="4"/>
  <c r="B431" i="4"/>
  <c r="C427" i="4"/>
  <c r="B427" i="4"/>
  <c r="C423" i="4"/>
  <c r="B423" i="4"/>
  <c r="C419" i="4"/>
  <c r="B419" i="4"/>
  <c r="C415" i="4"/>
  <c r="B415" i="4"/>
  <c r="C411" i="4"/>
  <c r="B411" i="4"/>
  <c r="C407" i="4"/>
  <c r="B407" i="4"/>
  <c r="C403" i="4"/>
  <c r="B403" i="4"/>
  <c r="C399" i="4"/>
  <c r="B399" i="4"/>
  <c r="C395" i="4"/>
  <c r="B395" i="4"/>
  <c r="C391" i="4"/>
  <c r="B391" i="4"/>
  <c r="C384" i="4"/>
  <c r="B384" i="4"/>
  <c r="C380" i="4"/>
  <c r="B380" i="4"/>
  <c r="C376" i="4"/>
  <c r="B376" i="4"/>
  <c r="C372" i="4"/>
  <c r="B372" i="4"/>
  <c r="C368" i="4"/>
  <c r="B368" i="4"/>
  <c r="C364" i="4"/>
  <c r="B364" i="4"/>
  <c r="C360" i="4"/>
  <c r="B360" i="4"/>
  <c r="C356" i="4"/>
  <c r="B356" i="4"/>
  <c r="C352" i="4"/>
  <c r="B352" i="4"/>
  <c r="C348" i="4"/>
  <c r="B348" i="4"/>
  <c r="C344" i="4"/>
  <c r="B344" i="4"/>
  <c r="C340" i="4"/>
  <c r="B340" i="4"/>
  <c r="C336" i="4"/>
  <c r="B336" i="4"/>
  <c r="C332" i="4"/>
  <c r="B332" i="4"/>
  <c r="C328" i="4"/>
  <c r="B328" i="4"/>
  <c r="C324" i="4"/>
  <c r="B324" i="4"/>
  <c r="C320" i="4"/>
  <c r="B320" i="4"/>
  <c r="C316" i="4"/>
  <c r="B316" i="4"/>
  <c r="C312" i="4"/>
  <c r="B312" i="4"/>
  <c r="C306" i="4"/>
  <c r="B306" i="4"/>
  <c r="C302" i="4"/>
  <c r="B302" i="4"/>
  <c r="C298" i="4"/>
  <c r="B298" i="4"/>
  <c r="C294" i="4"/>
  <c r="B294" i="4"/>
  <c r="C290" i="4"/>
  <c r="B290" i="4"/>
  <c r="C286" i="4"/>
  <c r="B286" i="4"/>
  <c r="C282" i="4"/>
  <c r="B282" i="4"/>
  <c r="C278" i="4"/>
  <c r="B278" i="4"/>
  <c r="C274" i="4"/>
  <c r="B274" i="4"/>
  <c r="C270" i="4"/>
  <c r="B270" i="4"/>
  <c r="C266" i="4"/>
  <c r="B266" i="4"/>
  <c r="C262" i="4"/>
  <c r="B262" i="4"/>
  <c r="C258" i="4"/>
  <c r="B258" i="4"/>
  <c r="C254" i="4"/>
  <c r="B254" i="4"/>
  <c r="C250" i="4"/>
  <c r="B250" i="4"/>
  <c r="C246" i="4"/>
  <c r="B246" i="4"/>
  <c r="C242" i="4"/>
  <c r="B242" i="4"/>
  <c r="C238" i="4"/>
  <c r="B238" i="4"/>
  <c r="C234" i="4"/>
  <c r="B234" i="4"/>
  <c r="C228" i="4"/>
  <c r="B228" i="4"/>
  <c r="C224" i="4"/>
  <c r="B224" i="4"/>
  <c r="C220" i="4"/>
  <c r="B220" i="4"/>
  <c r="C216" i="4"/>
  <c r="B216" i="4"/>
  <c r="C212" i="4"/>
  <c r="B212" i="4"/>
  <c r="C208" i="4"/>
  <c r="B208" i="4"/>
  <c r="C204" i="4"/>
  <c r="B204" i="4"/>
  <c r="C200" i="4"/>
  <c r="B200" i="4"/>
  <c r="C196" i="4"/>
  <c r="B196" i="4"/>
  <c r="C192" i="4"/>
  <c r="B192" i="4"/>
  <c r="C188" i="4"/>
  <c r="B188" i="4"/>
  <c r="C184" i="4"/>
  <c r="B184" i="4"/>
  <c r="C180" i="4"/>
  <c r="B180" i="4"/>
  <c r="C176" i="4"/>
  <c r="B176" i="4"/>
  <c r="C172" i="4"/>
  <c r="B172" i="4"/>
  <c r="C168" i="4"/>
  <c r="B168" i="4"/>
  <c r="C164" i="4"/>
  <c r="B164" i="4"/>
  <c r="C160" i="4"/>
  <c r="B160" i="4"/>
  <c r="C156" i="4"/>
  <c r="B156" i="4"/>
  <c r="C150" i="4"/>
  <c r="B150" i="4"/>
  <c r="C146" i="4"/>
  <c r="B146" i="4"/>
  <c r="C142" i="4"/>
  <c r="B142" i="4"/>
  <c r="C138" i="4"/>
  <c r="B138" i="4"/>
  <c r="C134" i="4"/>
  <c r="B134" i="4"/>
  <c r="C130" i="4"/>
  <c r="B130" i="4"/>
  <c r="C126" i="4"/>
  <c r="B126" i="4"/>
  <c r="C122" i="4"/>
  <c r="B122" i="4"/>
  <c r="C118" i="4"/>
  <c r="B118" i="4"/>
  <c r="C114" i="4"/>
  <c r="B114" i="4"/>
  <c r="C110" i="4"/>
  <c r="B110" i="4"/>
  <c r="C106" i="4"/>
  <c r="B106" i="4"/>
  <c r="C102" i="4"/>
  <c r="B102" i="4"/>
  <c r="C98" i="4"/>
  <c r="B98" i="4"/>
  <c r="C94" i="4"/>
  <c r="B94" i="4"/>
  <c r="C90" i="4"/>
  <c r="B90" i="4"/>
  <c r="C86" i="4"/>
  <c r="B86" i="4"/>
  <c r="C82" i="4"/>
  <c r="B82" i="4"/>
  <c r="C78" i="4"/>
  <c r="B78" i="4"/>
  <c r="C72" i="4"/>
  <c r="B72" i="4"/>
  <c r="C68" i="4"/>
  <c r="B68" i="4"/>
  <c r="C64" i="4"/>
  <c r="B64" i="4"/>
  <c r="C60" i="4"/>
  <c r="B60" i="4"/>
  <c r="C56" i="4"/>
  <c r="B56" i="4"/>
  <c r="C52" i="4"/>
  <c r="B52" i="4"/>
  <c r="C48" i="4"/>
  <c r="B48" i="4"/>
  <c r="C44" i="4"/>
  <c r="B44" i="4"/>
  <c r="C40" i="4"/>
  <c r="B40" i="4"/>
  <c r="C36" i="4"/>
  <c r="B36" i="4"/>
  <c r="C32" i="4"/>
  <c r="B32" i="4"/>
  <c r="C28" i="4"/>
  <c r="B28" i="4"/>
  <c r="C24" i="4"/>
  <c r="B24" i="4"/>
  <c r="C20" i="4"/>
  <c r="B20" i="4"/>
  <c r="C16" i="4"/>
  <c r="B16" i="4"/>
  <c r="C12" i="4"/>
  <c r="B12" i="4"/>
  <c r="C8" i="4"/>
  <c r="B8" i="4"/>
  <c r="C4" i="4"/>
  <c r="B4" i="4"/>
  <c r="F25" i="3" l="1"/>
  <c r="F27" i="3" s="1"/>
  <c r="F29" i="3" s="1"/>
  <c r="F31" i="3" s="1"/>
  <c r="F33" i="3" s="1"/>
  <c r="F35" i="3" s="1"/>
  <c r="F37" i="3" s="1"/>
  <c r="F38" i="3" s="1"/>
  <c r="E25" i="3"/>
  <c r="E27" i="3" s="1"/>
  <c r="E29" i="3" s="1"/>
  <c r="E31" i="3" s="1"/>
  <c r="E33" i="3" s="1"/>
  <c r="E35" i="3" s="1"/>
  <c r="E37" i="3" s="1"/>
  <c r="E38" i="3" s="1"/>
  <c r="D18" i="3"/>
  <c r="C18" i="3"/>
  <c r="D14" i="3"/>
  <c r="C14" i="3"/>
  <c r="D10" i="3"/>
  <c r="C10" i="3"/>
  <c r="D6" i="3"/>
  <c r="C6" i="3"/>
  <c r="D24" i="2"/>
  <c r="C24" i="2"/>
  <c r="D21" i="2"/>
  <c r="C21" i="2"/>
  <c r="D18" i="2"/>
  <c r="C18" i="2"/>
  <c r="D15" i="2"/>
  <c r="C15" i="2"/>
  <c r="D12" i="2"/>
  <c r="C12" i="2"/>
  <c r="D9" i="2"/>
  <c r="C9" i="2"/>
  <c r="D6" i="2"/>
  <c r="C6" i="2"/>
</calcChain>
</file>

<file path=xl/sharedStrings.xml><?xml version="1.0" encoding="utf-8"?>
<sst xmlns="http://schemas.openxmlformats.org/spreadsheetml/2006/main" count="1758" uniqueCount="330">
  <si>
    <t>"</t>
  </si>
  <si>
    <t>a75</t>
  </si>
  <si>
    <t>a74</t>
  </si>
  <si>
    <t>a73</t>
  </si>
  <si>
    <t>a72</t>
  </si>
  <si>
    <t>a71</t>
  </si>
  <si>
    <t>a70</t>
  </si>
  <si>
    <t>a69</t>
  </si>
  <si>
    <t>a68</t>
  </si>
  <si>
    <t>a67</t>
  </si>
  <si>
    <t>a66</t>
  </si>
  <si>
    <t>a65b</t>
  </si>
  <si>
    <t>a65a</t>
  </si>
  <si>
    <t>a65</t>
  </si>
  <si>
    <t>a64</t>
  </si>
  <si>
    <t>a63</t>
  </si>
  <si>
    <t>a62</t>
  </si>
  <si>
    <t>a61a</t>
  </si>
  <si>
    <t>a61</t>
  </si>
  <si>
    <t>a61b</t>
  </si>
  <si>
    <t>a60</t>
  </si>
  <si>
    <t>a59</t>
  </si>
  <si>
    <t>a58</t>
  </si>
  <si>
    <t>a57</t>
  </si>
  <si>
    <t>a56</t>
  </si>
  <si>
    <t>a55</t>
  </si>
  <si>
    <t>a54b</t>
  </si>
  <si>
    <t>a54a</t>
  </si>
  <si>
    <t>a54</t>
  </si>
  <si>
    <t>a53</t>
  </si>
  <si>
    <t>a52</t>
  </si>
  <si>
    <t>a51</t>
  </si>
  <si>
    <t>a50b</t>
  </si>
  <si>
    <t>a50a</t>
  </si>
  <si>
    <t>a50</t>
  </si>
  <si>
    <t>a49</t>
  </si>
  <si>
    <t>a48</t>
  </si>
  <si>
    <t>a47</t>
  </si>
  <si>
    <t>a46</t>
  </si>
  <si>
    <t>a45</t>
  </si>
  <si>
    <t>a44</t>
  </si>
  <si>
    <t>a43</t>
  </si>
  <si>
    <t>a42</t>
  </si>
  <si>
    <t>a41b</t>
  </si>
  <si>
    <t>a41a</t>
  </si>
  <si>
    <t>a41</t>
  </si>
  <si>
    <t>a40</t>
  </si>
  <si>
    <t>a39</t>
  </si>
  <si>
    <t>a38</t>
  </si>
  <si>
    <t>a37b</t>
  </si>
  <si>
    <t>a37a</t>
  </si>
  <si>
    <t>a37</t>
  </si>
  <si>
    <t>a36b</t>
  </si>
  <si>
    <t>a36a</t>
  </si>
  <si>
    <t>a36</t>
  </si>
  <si>
    <t>a35</t>
  </si>
  <si>
    <t>a34</t>
  </si>
  <si>
    <t>a33</t>
  </si>
  <si>
    <t>a32a</t>
  </si>
  <si>
    <t>a32b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</si>
  <si>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</si>
  <si>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</si>
  <si>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</si>
  <si>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</si>
  <si>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</si>
  <si>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</si>
  <si>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</si>
  <si>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</si>
  <si>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</si>
  <si>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</si>
  <si>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</t>
  </si>
  <si>
    <t>a21b</t>
  </si>
  <si>
    <t>a21a</t>
  </si>
  <si>
    <t>a21</t>
  </si>
  <si>
    <t>a20</t>
  </si>
  <si>
    <t>a19</t>
  </si>
  <si>
    <t>a18</t>
  </si>
  <si>
    <t>a17a</t>
  </si>
  <si>
    <t>a17</t>
  </si>
  <si>
    <t>a17b</t>
  </si>
  <si>
    <t>a16</t>
  </si>
  <si>
    <t>a15</t>
  </si>
  <si>
    <t>a14b</t>
  </si>
  <si>
    <t>a14a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</si>
  <si>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</si>
  <si>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</si>
  <si>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</si>
  <si>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</si>
  <si>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</si>
  <si>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</si>
  <si>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</si>
  <si>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</si>
  <si>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</si>
  <si>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</si>
  <si>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</si>
  <si>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</si>
  <si>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</si>
  <si>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</si>
  <si>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</si>
  <si>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</si>
  <si>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</si>
  <si>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</si>
  <si>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</si>
  <si>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</si>
  <si>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</si>
  <si>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</si>
  <si>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</si>
  <si>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I.P.C OLD</t>
  </si>
  <si>
    <t>M1</t>
  </si>
  <si>
    <t>RD21</t>
  </si>
  <si>
    <t>D8</t>
  </si>
  <si>
    <t>D7</t>
  </si>
  <si>
    <t>CN5</t>
  </si>
  <si>
    <t>FR NO. 583/58</t>
  </si>
  <si>
    <t>A.I.C OLD</t>
  </si>
  <si>
    <t>CN4A</t>
  </si>
  <si>
    <t>DESCRIPTION</t>
  </si>
  <si>
    <t>CLASS OF BEACON</t>
  </si>
  <si>
    <r>
      <rPr>
        <b/>
        <u/>
        <sz val="8"/>
        <color indexed="8"/>
        <rFont val="Calibri"/>
        <family val="2"/>
      </rPr>
      <t>˗</t>
    </r>
    <r>
      <rPr>
        <b/>
        <i/>
        <u/>
        <sz val="8"/>
        <color indexed="8"/>
        <rFont val="Palatino Linotype"/>
        <family val="1"/>
      </rPr>
      <t>X(EASTINGS)</t>
    </r>
  </si>
  <si>
    <t>Y(NORTHINGS)</t>
  </si>
  <si>
    <t>STATION</t>
  </si>
  <si>
    <t>FINAL CO-ORDINATE LIST</t>
  </si>
  <si>
    <t>I.P.C NEW</t>
  </si>
  <si>
    <t>FR NO.583/58</t>
  </si>
  <si>
    <t>I.P.C.U NEW</t>
  </si>
  <si>
    <t>DATUMN JOINS &amp; SEARCH DATA</t>
  </si>
  <si>
    <t>N</t>
  </si>
  <si>
    <t>E</t>
  </si>
  <si>
    <t>DISTANCE</t>
  </si>
  <si>
    <t>BEARING</t>
  </si>
  <si>
    <t>CN5 - D8</t>
  </si>
  <si>
    <t>220.984m</t>
  </si>
  <si>
    <r>
      <t>184</t>
    </r>
    <r>
      <rPr>
        <i/>
        <sz val="12"/>
        <color indexed="8"/>
        <rFont val="Calibri"/>
        <family val="2"/>
      </rPr>
      <t>°  49'  42"</t>
    </r>
  </si>
  <si>
    <t>CN5 - D7</t>
  </si>
  <si>
    <t>443.768m</t>
  </si>
  <si>
    <t>258°  37'  51"</t>
  </si>
  <si>
    <t>CN5 - RD21</t>
  </si>
  <si>
    <t>681.827m</t>
  </si>
  <si>
    <t>232°  04'  07"</t>
  </si>
  <si>
    <t>CN5 - CN4A</t>
  </si>
  <si>
    <t>184°  49'  41"</t>
  </si>
  <si>
    <t>D8 - CN4A</t>
  </si>
  <si>
    <t>352.039m</t>
  </si>
  <si>
    <r>
      <t>184</t>
    </r>
    <r>
      <rPr>
        <i/>
        <sz val="12"/>
        <color indexed="8"/>
        <rFont val="Calibri"/>
        <family val="2"/>
      </rPr>
      <t>°  49'  41"</t>
    </r>
  </si>
  <si>
    <t>D8 - D7</t>
  </si>
  <si>
    <t>437.097m</t>
  </si>
  <si>
    <t>287°  40'  35"</t>
  </si>
  <si>
    <t>D8 - RD21</t>
  </si>
  <si>
    <t>555.996m</t>
  </si>
  <si>
    <t>249°  02'  08"</t>
  </si>
  <si>
    <t>CONSISTENCY OF PLAN DATUM POINTS</t>
  </si>
  <si>
    <t>LINE</t>
  </si>
  <si>
    <t>D7 - D8</t>
  </si>
  <si>
    <t>@ 437.10m</t>
  </si>
  <si>
    <t>287°  40'   35"</t>
  </si>
  <si>
    <t>Adopt plan</t>
  </si>
  <si>
    <t>@352.04m</t>
  </si>
  <si>
    <t>184°  49'   41"</t>
  </si>
  <si>
    <t>@352.05m</t>
  </si>
  <si>
    <t>184°  49'   42"</t>
  </si>
  <si>
    <t>CN4A - RD21</t>
  </si>
  <si>
    <t>@512.57m</t>
  </si>
  <si>
    <t>107°  14'   01"</t>
  </si>
  <si>
    <t>107°  14'   04"</t>
  </si>
  <si>
    <t>RD21 - D7</t>
  </si>
  <si>
    <t>@ 347.20m</t>
  </si>
  <si>
    <t>17°  12'   38"</t>
  </si>
  <si>
    <t>17°  12'   35"</t>
  </si>
  <si>
    <t>107°  40'   35"</t>
  </si>
  <si>
    <t xml:space="preserve"> D8  -  CN4A</t>
  </si>
  <si>
    <t xml:space="preserve"> CN4A  -  RD21</t>
  </si>
  <si>
    <t>287°  14'   04"</t>
  </si>
  <si>
    <t xml:space="preserve"> RD21  -  D7</t>
  </si>
  <si>
    <t xml:space="preserve">  17°  12'   35"</t>
  </si>
  <si>
    <t>SHD/BE</t>
  </si>
  <si>
    <t>CONSISTENCY CHECKS</t>
  </si>
  <si>
    <r>
      <rPr>
        <sz val="12"/>
        <color indexed="8"/>
        <rFont val="Calibri"/>
        <family val="2"/>
      </rPr>
      <t>∆</t>
    </r>
    <r>
      <rPr>
        <i/>
        <sz val="12"/>
        <color indexed="8"/>
        <rFont val="Calibri"/>
        <family val="2"/>
      </rPr>
      <t>N</t>
    </r>
  </si>
  <si>
    <t>∆E</t>
  </si>
  <si>
    <t>POINT</t>
  </si>
  <si>
    <t>107°   40'   35"</t>
  </si>
  <si>
    <t>Should be</t>
  </si>
  <si>
    <t>197°   12'   35"</t>
  </si>
  <si>
    <t>287°   40'   35"</t>
  </si>
  <si>
    <t>INDEX TO COMPUTATIONS</t>
  </si>
  <si>
    <t>CONTENT</t>
  </si>
  <si>
    <t>PAGE NO</t>
  </si>
  <si>
    <t>SURVEYORS REPORT</t>
  </si>
  <si>
    <t>FINAL CO-ORDINATES LIST</t>
  </si>
  <si>
    <t>WORKING DIAGRAM</t>
  </si>
  <si>
    <t>THEORETICAL  COMPUTATIONS</t>
  </si>
  <si>
    <t>RTK RESULT</t>
  </si>
  <si>
    <t xml:space="preserve"> </t>
  </si>
  <si>
    <t>AREA COMPUTATIONS</t>
  </si>
  <si>
    <t>THEORETICAL COMPUTATIONS</t>
  </si>
  <si>
    <t>M1-a9</t>
  </si>
  <si>
    <t>a9-a8</t>
  </si>
  <si>
    <t>a8-a7</t>
  </si>
  <si>
    <t>a7-a6</t>
  </si>
  <si>
    <t>a6-a5</t>
  </si>
  <si>
    <t>a5-a</t>
  </si>
  <si>
    <t>a</t>
  </si>
  <si>
    <t>a-D7</t>
  </si>
  <si>
    <t>D7-b</t>
  </si>
  <si>
    <t>b</t>
  </si>
  <si>
    <t>b-a1</t>
  </si>
  <si>
    <t>a27-a28</t>
  </si>
  <si>
    <t>a44-a57</t>
  </si>
  <si>
    <t>a 71</t>
  </si>
  <si>
    <t>a71-M10</t>
  </si>
  <si>
    <t>M10-M9</t>
  </si>
  <si>
    <t>107° 40'   35"</t>
  </si>
  <si>
    <t>M9-M8</t>
  </si>
  <si>
    <t>17°   12'   35"</t>
  </si>
  <si>
    <t>a58-a56</t>
  </si>
  <si>
    <t>a56-a55</t>
  </si>
  <si>
    <t>a55-b</t>
  </si>
  <si>
    <t>b-a54</t>
  </si>
  <si>
    <t>a54-a</t>
  </si>
  <si>
    <t>a-a53</t>
  </si>
  <si>
    <t>a53-a52</t>
  </si>
  <si>
    <t>a52-a51</t>
  </si>
  <si>
    <t>a51-a</t>
  </si>
  <si>
    <t>a-a50</t>
  </si>
  <si>
    <t>a50-b</t>
  </si>
  <si>
    <t>b-a49</t>
  </si>
  <si>
    <t>a49-a48</t>
  </si>
  <si>
    <t>a48-a47</t>
  </si>
  <si>
    <t>a47-a46</t>
  </si>
  <si>
    <t>a46-a45</t>
  </si>
  <si>
    <t>b-a41</t>
  </si>
  <si>
    <t>a42-b</t>
  </si>
  <si>
    <t>a41-a</t>
  </si>
  <si>
    <t>a-a40</t>
  </si>
  <si>
    <t>a40-a39</t>
  </si>
  <si>
    <t>a39-a38</t>
  </si>
  <si>
    <t>a38-a</t>
  </si>
  <si>
    <t>a-a37</t>
  </si>
  <si>
    <t>a37-b</t>
  </si>
  <si>
    <t>a29-a30</t>
  </si>
  <si>
    <t>a30-a31</t>
  </si>
  <si>
    <t>a31-b</t>
  </si>
  <si>
    <t>b-a32</t>
  </si>
  <si>
    <t>a32-a</t>
  </si>
  <si>
    <t>a-a33</t>
  </si>
  <si>
    <t>a33-a34</t>
  </si>
  <si>
    <t>a34-a35</t>
  </si>
  <si>
    <t>a35-a</t>
  </si>
  <si>
    <t>a-a36</t>
  </si>
  <si>
    <t>a36-b</t>
  </si>
  <si>
    <t>b-a22</t>
  </si>
  <si>
    <t>a22-a23</t>
  </si>
  <si>
    <t>a23-a24</t>
  </si>
  <si>
    <t>a24-a25</t>
  </si>
  <si>
    <t>a25-a26</t>
  </si>
  <si>
    <t>a16-b</t>
  </si>
  <si>
    <t>b-a17</t>
  </si>
  <si>
    <t>a17-a</t>
  </si>
  <si>
    <t>a-a18</t>
  </si>
  <si>
    <t>a18-a19</t>
  </si>
  <si>
    <t>a19-a20</t>
  </si>
  <si>
    <t>a20-a</t>
  </si>
  <si>
    <t>a-a21</t>
  </si>
  <si>
    <t>a21-b</t>
  </si>
  <si>
    <t>a2-a3</t>
  </si>
  <si>
    <t>a3-a4</t>
  </si>
  <si>
    <t>a4-b</t>
  </si>
  <si>
    <t>b-a14</t>
  </si>
  <si>
    <t>a14-a</t>
  </si>
  <si>
    <t>a-a13</t>
  </si>
  <si>
    <t>a13-a12</t>
  </si>
  <si>
    <t>a12-a11</t>
  </si>
  <si>
    <t>a11-a10</t>
  </si>
  <si>
    <t>a10-M3</t>
  </si>
  <si>
    <t>M3-M2</t>
  </si>
  <si>
    <t>AREA OF PARCELS</t>
  </si>
  <si>
    <t>Areas were computed using measuregeom tool in autocad</t>
  </si>
  <si>
    <t>PARCEL</t>
  </si>
  <si>
    <t>AREA IN Ha</t>
  </si>
  <si>
    <t>A</t>
  </si>
  <si>
    <t>B</t>
  </si>
  <si>
    <t>Total area = 16.397 Ha</t>
  </si>
  <si>
    <t>F/R Area = 16.3991 Ha</t>
  </si>
  <si>
    <t>Descripancies = 0.002 HA</t>
  </si>
  <si>
    <t>M8-a75</t>
  </si>
  <si>
    <t>a75-M7</t>
  </si>
  <si>
    <t>M7-M6</t>
  </si>
  <si>
    <t>152° 26'   40"</t>
  </si>
  <si>
    <t>M6-a74</t>
  </si>
  <si>
    <t>a74-a73</t>
  </si>
  <si>
    <t>a73-a72</t>
  </si>
  <si>
    <t>a72-M5</t>
  </si>
  <si>
    <t>M5-M4</t>
  </si>
  <si>
    <t>62° 27'   53"</t>
  </si>
  <si>
    <t>M4-a66</t>
  </si>
  <si>
    <t>a66-a67</t>
  </si>
  <si>
    <t>287° 40'   35"</t>
  </si>
  <si>
    <t>a67-a68</t>
  </si>
  <si>
    <t>a68-a69</t>
  </si>
  <si>
    <t>a69-a70</t>
  </si>
  <si>
    <t>a70-a71</t>
  </si>
  <si>
    <t>a65-b</t>
  </si>
  <si>
    <t>b-a66</t>
  </si>
  <si>
    <t>a71-a57</t>
  </si>
  <si>
    <t>a57-a58</t>
  </si>
  <si>
    <t>a58-a59</t>
  </si>
  <si>
    <t>a59-a60</t>
  </si>
  <si>
    <t>a60-b</t>
  </si>
  <si>
    <t>b-a61</t>
  </si>
  <si>
    <t>a61-a</t>
  </si>
  <si>
    <t>a-a62</t>
  </si>
  <si>
    <t>a62-a63</t>
  </si>
  <si>
    <t>a63-a64</t>
  </si>
  <si>
    <t>a64-a</t>
  </si>
  <si>
    <t>a-a65</t>
  </si>
  <si>
    <t>a45-a44</t>
  </si>
  <si>
    <t>a44-a28</t>
  </si>
  <si>
    <t>a28-a29</t>
  </si>
  <si>
    <t>a29-a43</t>
  </si>
  <si>
    <t>a43-a42</t>
  </si>
  <si>
    <t>a26-a27</t>
  </si>
  <si>
    <t>a27-a1</t>
  </si>
  <si>
    <t>a1-a2</t>
  </si>
  <si>
    <t>a2-a15</t>
  </si>
  <si>
    <t>a15-a16</t>
  </si>
  <si>
    <t>M2-M1</t>
  </si>
  <si>
    <t>D7-M10</t>
  </si>
  <si>
    <t>THEORETICALS</t>
  </si>
  <si>
    <t>D7 - M10</t>
  </si>
  <si>
    <t>should be</t>
  </si>
  <si>
    <t xml:space="preserve">a50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</si>
</sst>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i/>
      <sz val="11"/>
      <color indexed="8"/>
      <name val="Palatino Linotype"/>
      <family val="1"/>
    </font>
    <font>
      <sz val="11"/>
      <color indexed="8"/>
      <name val="Calibri"/>
      <family val="2"/>
    </font>
    <font>
      <b/>
      <i/>
      <sz val="11"/>
      <color indexed="8"/>
      <name val="Palatino Linotype"/>
      <family val="1"/>
    </font>
    <font>
      <i/>
      <sz val="11"/>
      <color theme="1"/>
      <name val="Palatino Linotype"/>
      <family val="1"/>
    </font>
    <font>
      <b/>
      <sz val="11"/>
      <color indexed="8"/>
      <name val="Palatino Linotype"/>
      <family val="1"/>
    </font>
    <font>
      <i/>
      <sz val="11"/>
      <color theme="1"/>
      <name val="Calibri"/>
      <family val="2"/>
      <scheme val="minor"/>
    </font>
    <font>
      <b/>
      <i/>
      <u/>
      <sz val="11"/>
      <color indexed="8"/>
      <name val="Palatino Linotype"/>
      <family val="1"/>
    </font>
    <font>
      <b/>
      <i/>
      <u/>
      <sz val="8"/>
      <color indexed="8"/>
      <name val="Palatino Linotype"/>
      <family val="1"/>
    </font>
    <font>
      <b/>
      <u/>
      <sz val="8"/>
      <color indexed="8"/>
      <name val="Calibri"/>
      <family val="2"/>
    </font>
    <font>
      <i/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indexed="8"/>
      <name val="Calibri"/>
      <family val="2"/>
    </font>
    <font>
      <i/>
      <sz val="12"/>
      <color theme="1"/>
      <name val="Calibri"/>
      <family val="2"/>
    </font>
    <font>
      <b/>
      <i/>
      <u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b/>
      <i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i/>
      <u/>
      <sz val="12"/>
      <color indexed="8"/>
      <name val="Palatino Linotype"/>
      <family val="1"/>
    </font>
    <font>
      <i/>
      <sz val="12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0" xfId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0" fontId="14" fillId="0" borderId="0" xfId="0" applyFont="1"/>
    <xf numFmtId="2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quotePrefix="1" applyFont="1"/>
    <xf numFmtId="0" fontId="11" fillId="0" borderId="0" xfId="0" applyFont="1"/>
    <xf numFmtId="2" fontId="12" fillId="0" borderId="0" xfId="0" applyNumberFormat="1" applyFont="1"/>
    <xf numFmtId="2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17" fillId="0" borderId="0" xfId="0" applyFont="1"/>
    <xf numFmtId="2" fontId="14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5" fillId="0" borderId="0" xfId="0" applyFont="1"/>
    <xf numFmtId="0" fontId="19" fillId="0" borderId="0" xfId="0" applyFont="1"/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2" fontId="12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49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2" fontId="13" fillId="0" borderId="0" xfId="1" applyNumberFormat="1" applyFont="1" applyAlignment="1">
      <alignment horizontal="right"/>
    </xf>
    <xf numFmtId="2" fontId="17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11" fillId="0" borderId="0" xfId="0" applyFont="1" applyAlignment="1">
      <alignment horizontal="right"/>
    </xf>
    <xf numFmtId="2" fontId="16" fillId="0" borderId="0" xfId="1" applyNumberFormat="1" applyFont="1" applyAlignment="1">
      <alignment horizontal="right"/>
    </xf>
    <xf numFmtId="0" fontId="16" fillId="0" borderId="0" xfId="1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0" applyFont="1"/>
    <xf numFmtId="0" fontId="21" fillId="0" borderId="0" xfId="0" applyFont="1"/>
    <xf numFmtId="0" fontId="15" fillId="0" borderId="0" xfId="0" applyFont="1" applyAlignment="1">
      <alignment horizontal="left"/>
    </xf>
    <xf numFmtId="0" fontId="23" fillId="0" borderId="2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left"/>
    </xf>
    <xf numFmtId="165" fontId="25" fillId="0" borderId="0" xfId="0" applyNumberFormat="1" applyFont="1"/>
    <xf numFmtId="0" fontId="26" fillId="0" borderId="0" xfId="0" applyFont="1"/>
    <xf numFmtId="0" fontId="25" fillId="0" borderId="0" xfId="0" quotePrefix="1" applyFont="1" applyAlignment="1">
      <alignment horizontal="right"/>
    </xf>
    <xf numFmtId="2" fontId="21" fillId="0" borderId="0" xfId="0" applyNumberFormat="1" applyFont="1"/>
    <xf numFmtId="165" fontId="25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2" fontId="17" fillId="0" borderId="0" xfId="0" applyNumberFormat="1" applyFont="1"/>
    <xf numFmtId="2" fontId="13" fillId="0" borderId="0" xfId="0" applyNumberFormat="1" applyFont="1" applyAlignment="1">
      <alignment horizontal="right"/>
    </xf>
    <xf numFmtId="0" fontId="17" fillId="0" borderId="0" xfId="0" quotePrefix="1" applyFont="1" applyAlignment="1">
      <alignment horizontal="right"/>
    </xf>
  </cellXfs>
  <cellStyles count="2">
    <cellStyle name="Normal" xfId="0" builtinId="0"/>
    <cellStyle name="Normal_Sheet1" xfId="1" xr:uid="{1A543F8A-B3B2-4B79-9529-5F3F16388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FDF8-FF31-405B-AD50-941ED2921E03}">
  <dimension ref="B4:J26"/>
  <sheetViews>
    <sheetView topLeftCell="A10" workbookViewId="0">
      <selection activeCell="B25" sqref="B25"/>
    </sheetView>
  </sheetViews>
  <sheetFormatPr defaultRowHeight="15" x14ac:dyDescent="0.25"/>
  <cols>
    <col min="2" max="2" width="42" customWidth="1"/>
    <col min="5" max="5" width="10.140625" style="17" customWidth="1"/>
    <col min="258" max="258" width="42" customWidth="1"/>
    <col min="261" max="261" width="10.140625" customWidth="1"/>
    <col min="514" max="514" width="42" customWidth="1"/>
    <col min="517" max="517" width="10.140625" customWidth="1"/>
    <col min="770" max="770" width="42" customWidth="1"/>
    <col min="773" max="773" width="10.140625" customWidth="1"/>
    <col min="1026" max="1026" width="42" customWidth="1"/>
    <col min="1029" max="1029" width="10.140625" customWidth="1"/>
    <col min="1282" max="1282" width="42" customWidth="1"/>
    <col min="1285" max="1285" width="10.140625" customWidth="1"/>
    <col min="1538" max="1538" width="42" customWidth="1"/>
    <col min="1541" max="1541" width="10.140625" customWidth="1"/>
    <col min="1794" max="1794" width="42" customWidth="1"/>
    <col min="1797" max="1797" width="10.140625" customWidth="1"/>
    <col min="2050" max="2050" width="42" customWidth="1"/>
    <col min="2053" max="2053" width="10.140625" customWidth="1"/>
    <col min="2306" max="2306" width="42" customWidth="1"/>
    <col min="2309" max="2309" width="10.140625" customWidth="1"/>
    <col min="2562" max="2562" width="42" customWidth="1"/>
    <col min="2565" max="2565" width="10.140625" customWidth="1"/>
    <col min="2818" max="2818" width="42" customWidth="1"/>
    <col min="2821" max="2821" width="10.140625" customWidth="1"/>
    <col min="3074" max="3074" width="42" customWidth="1"/>
    <col min="3077" max="3077" width="10.140625" customWidth="1"/>
    <col min="3330" max="3330" width="42" customWidth="1"/>
    <col min="3333" max="3333" width="10.140625" customWidth="1"/>
    <col min="3586" max="3586" width="42" customWidth="1"/>
    <col min="3589" max="3589" width="10.140625" customWidth="1"/>
    <col min="3842" max="3842" width="42" customWidth="1"/>
    <col min="3845" max="3845" width="10.140625" customWidth="1"/>
    <col min="4098" max="4098" width="42" customWidth="1"/>
    <col min="4101" max="4101" width="10.140625" customWidth="1"/>
    <col min="4354" max="4354" width="42" customWidth="1"/>
    <col min="4357" max="4357" width="10.140625" customWidth="1"/>
    <col min="4610" max="4610" width="42" customWidth="1"/>
    <col min="4613" max="4613" width="10.140625" customWidth="1"/>
    <col min="4866" max="4866" width="42" customWidth="1"/>
    <col min="4869" max="4869" width="10.140625" customWidth="1"/>
    <col min="5122" max="5122" width="42" customWidth="1"/>
    <col min="5125" max="5125" width="10.140625" customWidth="1"/>
    <col min="5378" max="5378" width="42" customWidth="1"/>
    <col min="5381" max="5381" width="10.140625" customWidth="1"/>
    <col min="5634" max="5634" width="42" customWidth="1"/>
    <col min="5637" max="5637" width="10.140625" customWidth="1"/>
    <col min="5890" max="5890" width="42" customWidth="1"/>
    <col min="5893" max="5893" width="10.140625" customWidth="1"/>
    <col min="6146" max="6146" width="42" customWidth="1"/>
    <col min="6149" max="6149" width="10.140625" customWidth="1"/>
    <col min="6402" max="6402" width="42" customWidth="1"/>
    <col min="6405" max="6405" width="10.140625" customWidth="1"/>
    <col min="6658" max="6658" width="42" customWidth="1"/>
    <col min="6661" max="6661" width="10.140625" customWidth="1"/>
    <col min="6914" max="6914" width="42" customWidth="1"/>
    <col min="6917" max="6917" width="10.140625" customWidth="1"/>
    <col min="7170" max="7170" width="42" customWidth="1"/>
    <col min="7173" max="7173" width="10.140625" customWidth="1"/>
    <col min="7426" max="7426" width="42" customWidth="1"/>
    <col min="7429" max="7429" width="10.140625" customWidth="1"/>
    <col min="7682" max="7682" width="42" customWidth="1"/>
    <col min="7685" max="7685" width="10.140625" customWidth="1"/>
    <col min="7938" max="7938" width="42" customWidth="1"/>
    <col min="7941" max="7941" width="10.140625" customWidth="1"/>
    <col min="8194" max="8194" width="42" customWidth="1"/>
    <col min="8197" max="8197" width="10.140625" customWidth="1"/>
    <col min="8450" max="8450" width="42" customWidth="1"/>
    <col min="8453" max="8453" width="10.140625" customWidth="1"/>
    <col min="8706" max="8706" width="42" customWidth="1"/>
    <col min="8709" max="8709" width="10.140625" customWidth="1"/>
    <col min="8962" max="8962" width="42" customWidth="1"/>
    <col min="8965" max="8965" width="10.140625" customWidth="1"/>
    <col min="9218" max="9218" width="42" customWidth="1"/>
    <col min="9221" max="9221" width="10.140625" customWidth="1"/>
    <col min="9474" max="9474" width="42" customWidth="1"/>
    <col min="9477" max="9477" width="10.140625" customWidth="1"/>
    <col min="9730" max="9730" width="42" customWidth="1"/>
    <col min="9733" max="9733" width="10.140625" customWidth="1"/>
    <col min="9986" max="9986" width="42" customWidth="1"/>
    <col min="9989" max="9989" width="10.140625" customWidth="1"/>
    <col min="10242" max="10242" width="42" customWidth="1"/>
    <col min="10245" max="10245" width="10.140625" customWidth="1"/>
    <col min="10498" max="10498" width="42" customWidth="1"/>
    <col min="10501" max="10501" width="10.140625" customWidth="1"/>
    <col min="10754" max="10754" width="42" customWidth="1"/>
    <col min="10757" max="10757" width="10.140625" customWidth="1"/>
    <col min="11010" max="11010" width="42" customWidth="1"/>
    <col min="11013" max="11013" width="10.140625" customWidth="1"/>
    <col min="11266" max="11266" width="42" customWidth="1"/>
    <col min="11269" max="11269" width="10.140625" customWidth="1"/>
    <col min="11522" max="11522" width="42" customWidth="1"/>
    <col min="11525" max="11525" width="10.140625" customWidth="1"/>
    <col min="11778" max="11778" width="42" customWidth="1"/>
    <col min="11781" max="11781" width="10.140625" customWidth="1"/>
    <col min="12034" max="12034" width="42" customWidth="1"/>
    <col min="12037" max="12037" width="10.140625" customWidth="1"/>
    <col min="12290" max="12290" width="42" customWidth="1"/>
    <col min="12293" max="12293" width="10.140625" customWidth="1"/>
    <col min="12546" max="12546" width="42" customWidth="1"/>
    <col min="12549" max="12549" width="10.140625" customWidth="1"/>
    <col min="12802" max="12802" width="42" customWidth="1"/>
    <col min="12805" max="12805" width="10.140625" customWidth="1"/>
    <col min="13058" max="13058" width="42" customWidth="1"/>
    <col min="13061" max="13061" width="10.140625" customWidth="1"/>
    <col min="13314" max="13314" width="42" customWidth="1"/>
    <col min="13317" max="13317" width="10.140625" customWidth="1"/>
    <col min="13570" max="13570" width="42" customWidth="1"/>
    <col min="13573" max="13573" width="10.140625" customWidth="1"/>
    <col min="13826" max="13826" width="42" customWidth="1"/>
    <col min="13829" max="13829" width="10.140625" customWidth="1"/>
    <col min="14082" max="14082" width="42" customWidth="1"/>
    <col min="14085" max="14085" width="10.140625" customWidth="1"/>
    <col min="14338" max="14338" width="42" customWidth="1"/>
    <col min="14341" max="14341" width="10.140625" customWidth="1"/>
    <col min="14594" max="14594" width="42" customWidth="1"/>
    <col min="14597" max="14597" width="10.140625" customWidth="1"/>
    <col min="14850" max="14850" width="42" customWidth="1"/>
    <col min="14853" max="14853" width="10.140625" customWidth="1"/>
    <col min="15106" max="15106" width="42" customWidth="1"/>
    <col min="15109" max="15109" width="10.140625" customWidth="1"/>
    <col min="15362" max="15362" width="42" customWidth="1"/>
    <col min="15365" max="15365" width="10.140625" customWidth="1"/>
    <col min="15618" max="15618" width="42" customWidth="1"/>
    <col min="15621" max="15621" width="10.140625" customWidth="1"/>
    <col min="15874" max="15874" width="42" customWidth="1"/>
    <col min="15877" max="15877" width="10.140625" customWidth="1"/>
    <col min="16130" max="16130" width="42" customWidth="1"/>
    <col min="16133" max="16133" width="10.140625" customWidth="1"/>
  </cols>
  <sheetData>
    <row r="4" spans="2:6" ht="18.75" x14ac:dyDescent="0.3">
      <c r="B4" s="67" t="s">
        <v>183</v>
      </c>
      <c r="C4" s="67"/>
      <c r="D4" s="67"/>
      <c r="E4" s="67"/>
      <c r="F4" s="67"/>
    </row>
    <row r="5" spans="2:6" ht="15.75" x14ac:dyDescent="0.25">
      <c r="B5" s="24"/>
      <c r="C5" s="24"/>
      <c r="D5" s="24"/>
      <c r="E5" s="24"/>
      <c r="F5" s="24"/>
    </row>
    <row r="6" spans="2:6" s="10" customFormat="1" ht="15.75" x14ac:dyDescent="0.25">
      <c r="B6" s="40" t="s">
        <v>184</v>
      </c>
      <c r="C6" s="30"/>
      <c r="D6" s="30"/>
      <c r="E6" s="36" t="s">
        <v>185</v>
      </c>
    </row>
    <row r="7" spans="2:6" s="10" customFormat="1" ht="15.75" x14ac:dyDescent="0.25">
      <c r="B7" s="30"/>
      <c r="C7" s="30"/>
      <c r="D7" s="30"/>
      <c r="E7" s="36"/>
    </row>
    <row r="8" spans="2:6" s="10" customFormat="1" ht="15.75" x14ac:dyDescent="0.25">
      <c r="B8" s="18" t="s">
        <v>186</v>
      </c>
      <c r="C8" s="18"/>
      <c r="D8" s="18"/>
      <c r="E8" s="19"/>
    </row>
    <row r="9" spans="2:6" s="10" customFormat="1" ht="15.75" x14ac:dyDescent="0.25">
      <c r="B9" s="18"/>
      <c r="C9" s="18"/>
      <c r="D9" s="18"/>
      <c r="E9" s="19"/>
    </row>
    <row r="10" spans="2:6" s="10" customFormat="1" ht="15.75" x14ac:dyDescent="0.25">
      <c r="B10" s="18" t="s">
        <v>183</v>
      </c>
      <c r="C10" s="18"/>
      <c r="D10" s="18"/>
      <c r="E10" s="19"/>
    </row>
    <row r="11" spans="2:6" s="10" customFormat="1" ht="15.75" x14ac:dyDescent="0.25">
      <c r="B11" s="18"/>
      <c r="C11" s="18"/>
      <c r="D11" s="18"/>
      <c r="E11" s="19"/>
    </row>
    <row r="12" spans="2:6" s="10" customFormat="1" ht="15.75" x14ac:dyDescent="0.25">
      <c r="B12" s="18" t="s">
        <v>187</v>
      </c>
      <c r="C12" s="18"/>
      <c r="D12" s="18"/>
      <c r="E12" s="41"/>
    </row>
    <row r="13" spans="2:6" s="10" customFormat="1" ht="15.75" x14ac:dyDescent="0.25">
      <c r="B13" s="18"/>
      <c r="C13" s="18"/>
      <c r="D13" s="18"/>
      <c r="E13" s="19"/>
    </row>
    <row r="14" spans="2:6" s="10" customFormat="1" ht="15.75" x14ac:dyDescent="0.25">
      <c r="B14" s="18" t="s">
        <v>188</v>
      </c>
      <c r="C14" s="18"/>
      <c r="D14" s="18"/>
      <c r="E14" s="41"/>
    </row>
    <row r="15" spans="2:6" s="10" customFormat="1" ht="15.75" x14ac:dyDescent="0.25">
      <c r="B15" s="18"/>
      <c r="C15" s="18"/>
      <c r="D15" s="18"/>
      <c r="E15" s="19"/>
    </row>
    <row r="16" spans="2:6" s="10" customFormat="1" ht="15.75" x14ac:dyDescent="0.25">
      <c r="B16" s="18" t="s">
        <v>189</v>
      </c>
      <c r="C16" s="18"/>
      <c r="D16" s="18"/>
      <c r="E16" s="19"/>
    </row>
    <row r="17" spans="2:10" s="10" customFormat="1" ht="15.75" x14ac:dyDescent="0.25">
      <c r="C17" s="18"/>
      <c r="D17" s="18"/>
      <c r="E17" s="19"/>
    </row>
    <row r="18" spans="2:10" s="10" customFormat="1" ht="15.75" x14ac:dyDescent="0.25">
      <c r="B18" s="18" t="s">
        <v>190</v>
      </c>
      <c r="C18" s="18"/>
      <c r="D18" s="18"/>
      <c r="E18" s="41"/>
    </row>
    <row r="19" spans="2:10" s="10" customFormat="1" ht="15.75" x14ac:dyDescent="0.25">
      <c r="C19" s="18"/>
      <c r="D19" s="18"/>
      <c r="E19" s="19"/>
    </row>
    <row r="20" spans="2:10" s="10" customFormat="1" ht="15.75" x14ac:dyDescent="0.25">
      <c r="B20" s="18" t="s">
        <v>175</v>
      </c>
      <c r="C20" s="18"/>
      <c r="D20" s="18"/>
      <c r="E20" s="41"/>
      <c r="J20" s="10" t="s">
        <v>191</v>
      </c>
    </row>
    <row r="21" spans="2:10" s="10" customFormat="1" ht="15.75" x14ac:dyDescent="0.25">
      <c r="B21" s="18"/>
      <c r="C21" s="18"/>
      <c r="D21" s="18"/>
      <c r="E21" s="19"/>
    </row>
    <row r="22" spans="2:10" s="10" customFormat="1" ht="15.75" x14ac:dyDescent="0.25">
      <c r="B22" s="18" t="s">
        <v>192</v>
      </c>
      <c r="C22" s="18"/>
      <c r="E22" s="41"/>
    </row>
    <row r="23" spans="2:10" s="10" customFormat="1" ht="15.75" x14ac:dyDescent="0.25">
      <c r="C23" s="18"/>
      <c r="D23" s="18"/>
      <c r="E23" s="19"/>
    </row>
    <row r="24" spans="2:10" s="10" customFormat="1" ht="15.75" x14ac:dyDescent="0.25">
      <c r="C24" s="18"/>
      <c r="D24" s="18"/>
      <c r="E24" s="41"/>
    </row>
    <row r="25" spans="2:10" s="10" customFormat="1" ht="15.75" x14ac:dyDescent="0.25">
      <c r="C25" s="18"/>
      <c r="D25" s="18"/>
      <c r="E25" s="19"/>
    </row>
    <row r="26" spans="2:10" s="10" customFormat="1" ht="15.75" x14ac:dyDescent="0.25">
      <c r="C26" s="18"/>
      <c r="D26" s="18"/>
      <c r="E26" s="41"/>
    </row>
  </sheetData>
  <mergeCells count="1">
    <mergeCell ref="B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C96B-7B30-42E1-BCD4-511D914F2080}">
  <dimension ref="A1:I118"/>
  <sheetViews>
    <sheetView topLeftCell="A22" workbookViewId="0">
      <selection activeCell="C33" sqref="C33"/>
    </sheetView>
  </sheetViews>
  <sheetFormatPr defaultRowHeight="15" x14ac:dyDescent="0.25"/>
  <cols>
    <col min="3" max="3" width="13.85546875" bestFit="1" customWidth="1"/>
    <col min="4" max="4" width="12.42578125" bestFit="1" customWidth="1"/>
    <col min="5" max="5" width="16.5703125" bestFit="1" customWidth="1"/>
    <col min="6" max="6" width="16.42578125" bestFit="1" customWidth="1"/>
  </cols>
  <sheetData>
    <row r="1" spans="1:9" ht="17.25" x14ac:dyDescent="0.35">
      <c r="A1" s="1"/>
      <c r="B1" s="4"/>
      <c r="C1" s="4"/>
      <c r="D1" s="4"/>
      <c r="E1" s="3"/>
      <c r="F1" s="2"/>
      <c r="G1" s="1"/>
      <c r="H1" s="1"/>
      <c r="I1" s="8"/>
    </row>
    <row r="2" spans="1:9" ht="18" thickBot="1" x14ac:dyDescent="0.4">
      <c r="A2" s="1"/>
      <c r="B2" s="68" t="s">
        <v>121</v>
      </c>
      <c r="C2" s="68"/>
      <c r="D2" s="68"/>
      <c r="E2" s="68"/>
      <c r="F2" s="68"/>
      <c r="G2" s="68"/>
      <c r="H2" s="15"/>
      <c r="I2" s="8"/>
    </row>
    <row r="3" spans="1:9" ht="18" thickTop="1" x14ac:dyDescent="0.35">
      <c r="A3" s="1"/>
      <c r="B3" s="14" t="s">
        <v>120</v>
      </c>
      <c r="C3" s="14" t="s">
        <v>119</v>
      </c>
      <c r="D3" s="14" t="s">
        <v>118</v>
      </c>
      <c r="E3" s="14" t="s">
        <v>117</v>
      </c>
      <c r="F3" s="14" t="s">
        <v>116</v>
      </c>
      <c r="G3" s="13"/>
      <c r="H3" s="1"/>
      <c r="I3" s="8"/>
    </row>
    <row r="4" spans="1:9" ht="17.25" x14ac:dyDescent="0.35">
      <c r="A4" s="1"/>
      <c r="B4" s="12" t="s">
        <v>115</v>
      </c>
      <c r="C4" s="6">
        <v>114218.49</v>
      </c>
      <c r="D4" s="6">
        <v>3692.81</v>
      </c>
      <c r="E4" s="5" t="s">
        <v>114</v>
      </c>
      <c r="F4" s="11" t="s">
        <v>113</v>
      </c>
      <c r="G4" s="13"/>
      <c r="H4" s="1"/>
      <c r="I4" s="8"/>
    </row>
    <row r="5" spans="1:9" ht="17.25" x14ac:dyDescent="0.35">
      <c r="A5" s="8"/>
      <c r="B5" s="12" t="s">
        <v>112</v>
      </c>
      <c r="C5" s="6">
        <v>114789.48</v>
      </c>
      <c r="D5" s="6">
        <v>3644.58</v>
      </c>
      <c r="E5" s="5" t="s">
        <v>0</v>
      </c>
      <c r="F5" s="5" t="s">
        <v>0</v>
      </c>
      <c r="G5" s="8"/>
      <c r="H5" s="8"/>
      <c r="I5" s="8"/>
    </row>
    <row r="6" spans="1:9" ht="17.25" x14ac:dyDescent="0.35">
      <c r="A6" s="1"/>
      <c r="B6" s="12" t="s">
        <v>111</v>
      </c>
      <c r="C6" s="6">
        <v>114702</v>
      </c>
      <c r="D6" s="6">
        <v>4079.64</v>
      </c>
      <c r="E6" s="5" t="s">
        <v>0</v>
      </c>
      <c r="F6" s="5" t="s">
        <v>0</v>
      </c>
      <c r="G6" s="1"/>
      <c r="H6" s="1"/>
      <c r="I6" s="8"/>
    </row>
    <row r="7" spans="1:9" ht="17.25" x14ac:dyDescent="0.35">
      <c r="A7" s="1"/>
      <c r="B7" s="12" t="s">
        <v>110</v>
      </c>
      <c r="C7" s="6">
        <v>114569.28</v>
      </c>
      <c r="D7" s="6">
        <v>3663.18</v>
      </c>
      <c r="E7" s="5" t="s">
        <v>0</v>
      </c>
      <c r="F7" s="5" t="s">
        <v>0</v>
      </c>
      <c r="G7" s="7"/>
      <c r="H7" s="7"/>
      <c r="I7" s="1"/>
    </row>
    <row r="8" spans="1:9" ht="17.25" x14ac:dyDescent="0.35">
      <c r="A8" s="1"/>
      <c r="B8" s="12" t="s">
        <v>109</v>
      </c>
      <c r="C8" s="6">
        <v>114370.35</v>
      </c>
      <c r="D8" s="6">
        <v>4182.37</v>
      </c>
      <c r="E8" s="5" t="s">
        <v>0</v>
      </c>
      <c r="F8" s="5" t="s">
        <v>0</v>
      </c>
      <c r="G8" s="7"/>
      <c r="H8" s="7"/>
      <c r="I8" s="8"/>
    </row>
    <row r="9" spans="1:9" ht="17.25" x14ac:dyDescent="0.35">
      <c r="A9" s="1"/>
      <c r="B9" s="12"/>
      <c r="C9" s="6"/>
      <c r="D9" s="6"/>
      <c r="E9" s="5"/>
      <c r="F9" s="5"/>
      <c r="G9" s="7"/>
      <c r="H9" s="7"/>
      <c r="I9" s="8"/>
    </row>
    <row r="10" spans="1:9" ht="17.25" x14ac:dyDescent="0.35">
      <c r="A10" s="8"/>
      <c r="B10" s="12" t="s">
        <v>108</v>
      </c>
      <c r="C10" s="6">
        <v>114675.54300000001</v>
      </c>
      <c r="D10" s="6">
        <v>-3996.6208999999999</v>
      </c>
      <c r="E10" s="5" t="s">
        <v>107</v>
      </c>
      <c r="F10" s="11" t="s">
        <v>123</v>
      </c>
      <c r="G10" s="7"/>
      <c r="H10" s="7"/>
      <c r="I10" s="10"/>
    </row>
    <row r="11" spans="1:9" ht="17.25" x14ac:dyDescent="0.35">
      <c r="A11" s="8"/>
      <c r="B11" s="9" t="s">
        <v>106</v>
      </c>
      <c r="C11" s="6">
        <v>114644.9748</v>
      </c>
      <c r="D11" s="6">
        <v>-4006.0895999999998</v>
      </c>
      <c r="E11" s="5" t="s">
        <v>0</v>
      </c>
      <c r="F11" s="5" t="s">
        <v>0</v>
      </c>
      <c r="G11" s="7"/>
      <c r="H11" s="7"/>
      <c r="I11" s="10"/>
    </row>
    <row r="12" spans="1:9" ht="17.25" x14ac:dyDescent="0.35">
      <c r="A12" s="8"/>
      <c r="B12" s="9" t="s">
        <v>105</v>
      </c>
      <c r="C12" s="6">
        <v>114647.7077</v>
      </c>
      <c r="D12" s="6">
        <v>-4014.6649000000002</v>
      </c>
      <c r="E12" s="5" t="s">
        <v>0</v>
      </c>
      <c r="F12" s="5" t="s">
        <v>0</v>
      </c>
      <c r="G12" s="8"/>
      <c r="H12" s="8"/>
      <c r="I12" s="1"/>
    </row>
    <row r="13" spans="1:9" ht="17.25" x14ac:dyDescent="0.35">
      <c r="A13" s="8"/>
      <c r="B13" s="9" t="s">
        <v>104</v>
      </c>
      <c r="C13" s="6">
        <v>114438.28019999999</v>
      </c>
      <c r="D13" s="6">
        <v>-4079.5360000000001</v>
      </c>
      <c r="E13" s="5" t="s">
        <v>0</v>
      </c>
      <c r="F13" s="5" t="s">
        <v>0</v>
      </c>
      <c r="G13" s="8"/>
      <c r="H13" s="8"/>
      <c r="I13" s="1"/>
    </row>
    <row r="14" spans="1:9" ht="17.25" x14ac:dyDescent="0.35">
      <c r="A14" s="8"/>
      <c r="B14" s="9" t="s">
        <v>103</v>
      </c>
      <c r="C14" s="6">
        <v>114435.3481</v>
      </c>
      <c r="D14" s="6">
        <v>-4085.1550000000002</v>
      </c>
      <c r="E14" s="5" t="s">
        <v>0</v>
      </c>
      <c r="F14" s="5" t="s">
        <v>0</v>
      </c>
      <c r="G14" s="8"/>
      <c r="H14" s="8"/>
      <c r="I14" s="1"/>
    </row>
    <row r="15" spans="1:9" ht="17.25" x14ac:dyDescent="0.35">
      <c r="A15" s="7"/>
      <c r="B15" s="9" t="s">
        <v>102</v>
      </c>
      <c r="C15" s="6">
        <v>114450.227</v>
      </c>
      <c r="D15" s="6">
        <v>-4131.8433999999997</v>
      </c>
      <c r="E15" s="5" t="s">
        <v>0</v>
      </c>
      <c r="F15" s="5" t="s">
        <v>0</v>
      </c>
      <c r="G15" s="7"/>
      <c r="H15" s="8"/>
      <c r="I15" s="1"/>
    </row>
    <row r="16" spans="1:9" ht="17.25" x14ac:dyDescent="0.35">
      <c r="A16" s="7"/>
      <c r="B16" s="9" t="s">
        <v>101</v>
      </c>
      <c r="C16" s="6">
        <v>114455.8919</v>
      </c>
      <c r="D16" s="6">
        <v>-4134.7993999999999</v>
      </c>
      <c r="E16" s="5" t="s">
        <v>0</v>
      </c>
      <c r="F16" s="5" t="s">
        <v>0</v>
      </c>
      <c r="G16" s="7"/>
      <c r="H16" s="7"/>
      <c r="I16" s="7"/>
    </row>
    <row r="17" spans="1:9" ht="17.25" x14ac:dyDescent="0.35">
      <c r="A17" s="7"/>
      <c r="B17" s="9" t="s">
        <v>100</v>
      </c>
      <c r="C17" s="6">
        <v>114458.6249</v>
      </c>
      <c r="D17" s="6">
        <v>-4143.3747000000003</v>
      </c>
      <c r="E17" s="5" t="s">
        <v>0</v>
      </c>
      <c r="F17" s="5" t="s">
        <v>0</v>
      </c>
      <c r="G17" s="7"/>
      <c r="H17" s="7"/>
      <c r="I17" s="7"/>
    </row>
    <row r="18" spans="1:9" ht="17.25" x14ac:dyDescent="0.35">
      <c r="A18" s="7"/>
      <c r="B18" s="9" t="s">
        <v>99</v>
      </c>
      <c r="C18" s="6">
        <v>114450.0276</v>
      </c>
      <c r="D18" s="6">
        <v>-4146.0378000000001</v>
      </c>
      <c r="E18" s="5" t="s">
        <v>0</v>
      </c>
      <c r="F18" s="5" t="s">
        <v>0</v>
      </c>
      <c r="G18" s="7"/>
      <c r="H18" s="7"/>
      <c r="I18" s="7"/>
    </row>
    <row r="19" spans="1:9" ht="17.25" x14ac:dyDescent="0.35">
      <c r="A19" s="7"/>
      <c r="B19" s="9" t="s">
        <v>98</v>
      </c>
      <c r="C19" s="6">
        <v>114453.4072</v>
      </c>
      <c r="D19" s="6">
        <v>-4156.6427000000003</v>
      </c>
      <c r="E19" s="5" t="s">
        <v>0</v>
      </c>
      <c r="F19" s="5" t="s">
        <v>0</v>
      </c>
      <c r="G19" s="7"/>
      <c r="H19" s="7"/>
      <c r="I19" s="7"/>
    </row>
    <row r="20" spans="1:9" ht="17.25" x14ac:dyDescent="0.35">
      <c r="A20" s="7"/>
      <c r="B20" s="9" t="s">
        <v>97</v>
      </c>
      <c r="C20" s="6">
        <v>114667.1332</v>
      </c>
      <c r="D20" s="6">
        <v>-4090.4400999999998</v>
      </c>
      <c r="E20" s="5" t="s">
        <v>122</v>
      </c>
      <c r="F20" s="5"/>
      <c r="G20" s="7"/>
      <c r="H20" s="7"/>
      <c r="I20" s="1"/>
    </row>
    <row r="21" spans="1:9" ht="17.25" x14ac:dyDescent="0.35">
      <c r="A21" s="7"/>
      <c r="B21" s="5" t="s">
        <v>96</v>
      </c>
      <c r="C21" s="6">
        <v>114663.7536</v>
      </c>
      <c r="D21" s="6">
        <v>-4079.8353000000002</v>
      </c>
      <c r="E21" s="5" t="s">
        <v>0</v>
      </c>
      <c r="F21" s="5"/>
      <c r="G21" s="7"/>
      <c r="H21" s="7"/>
      <c r="I21" s="1"/>
    </row>
    <row r="22" spans="1:9" ht="17.25" x14ac:dyDescent="0.35">
      <c r="A22" s="7"/>
      <c r="B22" s="5" t="s">
        <v>95</v>
      </c>
      <c r="C22" s="6">
        <v>114672.3509</v>
      </c>
      <c r="D22" s="6">
        <v>-4077.1722</v>
      </c>
      <c r="E22" s="5" t="s">
        <v>0</v>
      </c>
      <c r="F22" s="5"/>
      <c r="G22" s="7"/>
      <c r="H22" s="7"/>
      <c r="I22" s="8"/>
    </row>
    <row r="23" spans="1:9" ht="17.25" x14ac:dyDescent="0.35">
      <c r="A23" s="7"/>
      <c r="B23" s="5" t="s">
        <v>94</v>
      </c>
      <c r="C23" s="6">
        <v>114671.5398</v>
      </c>
      <c r="D23" s="6">
        <v>-4074.6271999999999</v>
      </c>
      <c r="E23" s="5" t="s">
        <v>0</v>
      </c>
      <c r="F23" s="5"/>
      <c r="G23" s="7"/>
      <c r="H23" s="7"/>
      <c r="I23" s="1"/>
    </row>
    <row r="24" spans="1:9" ht="17.25" x14ac:dyDescent="0.35">
      <c r="A24" s="7"/>
      <c r="B24" s="5" t="s">
        <v>93</v>
      </c>
      <c r="C24" s="6">
        <v>114697.80929999999</v>
      </c>
      <c r="D24" s="6">
        <v>-4066.4902000000002</v>
      </c>
      <c r="E24" s="5" t="s">
        <v>0</v>
      </c>
      <c r="F24" s="5"/>
      <c r="G24" s="7"/>
      <c r="H24" s="7"/>
      <c r="I24" s="8"/>
    </row>
    <row r="25" spans="1:9" ht="17.25" x14ac:dyDescent="0.35">
      <c r="A25" s="7"/>
      <c r="B25" s="5" t="s">
        <v>92</v>
      </c>
      <c r="C25" s="6">
        <v>114693.0672</v>
      </c>
      <c r="D25" s="6">
        <v>-4051.61</v>
      </c>
      <c r="E25" s="5" t="s">
        <v>0</v>
      </c>
      <c r="F25" s="5"/>
      <c r="G25" s="7"/>
      <c r="H25" s="7"/>
      <c r="I25" s="8"/>
    </row>
    <row r="26" spans="1:9" ht="17.25" x14ac:dyDescent="0.35">
      <c r="A26" s="7"/>
      <c r="B26" s="5" t="s">
        <v>91</v>
      </c>
      <c r="C26" s="6">
        <v>114688.6862</v>
      </c>
      <c r="D26" s="6">
        <v>-4037.8627000000001</v>
      </c>
      <c r="E26" s="5" t="s">
        <v>0</v>
      </c>
      <c r="F26" s="5"/>
      <c r="G26" s="7"/>
      <c r="H26" s="7"/>
      <c r="I26" s="8"/>
    </row>
    <row r="27" spans="1:9" ht="17.25" x14ac:dyDescent="0.35">
      <c r="A27" s="7"/>
      <c r="B27" s="5" t="s">
        <v>90</v>
      </c>
      <c r="C27" s="6">
        <v>114684.3051</v>
      </c>
      <c r="D27" s="6">
        <v>-4024.1154999999999</v>
      </c>
      <c r="E27" s="5" t="s">
        <v>0</v>
      </c>
      <c r="F27" s="5"/>
      <c r="G27" s="7"/>
      <c r="H27" s="7"/>
      <c r="I27" s="7"/>
    </row>
    <row r="28" spans="1:9" ht="17.25" x14ac:dyDescent="0.35">
      <c r="A28" s="7"/>
      <c r="B28" s="5" t="s">
        <v>89</v>
      </c>
      <c r="C28" s="6">
        <v>114679.924</v>
      </c>
      <c r="D28" s="6">
        <v>-4010.3681999999999</v>
      </c>
      <c r="E28" s="5" t="s">
        <v>0</v>
      </c>
      <c r="F28" s="5"/>
      <c r="G28" s="7"/>
      <c r="H28" s="7"/>
      <c r="I28" s="7"/>
    </row>
    <row r="29" spans="1:9" ht="17.25" x14ac:dyDescent="0.35">
      <c r="A29" s="7"/>
      <c r="B29" s="5" t="s">
        <v>88</v>
      </c>
      <c r="C29" s="6">
        <v>114649.3559</v>
      </c>
      <c r="D29" s="6">
        <v>-4019.8368</v>
      </c>
      <c r="E29" s="5" t="s">
        <v>0</v>
      </c>
      <c r="F29" s="5"/>
      <c r="G29" s="7"/>
      <c r="H29" s="7"/>
      <c r="I29" s="7"/>
    </row>
    <row r="30" spans="1:9" ht="17.25" x14ac:dyDescent="0.35">
      <c r="A30" s="7"/>
      <c r="B30" s="5" t="s">
        <v>87</v>
      </c>
      <c r="C30" s="6">
        <v>114653.7369</v>
      </c>
      <c r="D30" s="6">
        <v>-4033.5841</v>
      </c>
      <c r="E30" s="5" t="s">
        <v>0</v>
      </c>
      <c r="F30" s="5"/>
      <c r="G30" s="7"/>
      <c r="H30" s="7"/>
      <c r="I30" s="7"/>
    </row>
    <row r="31" spans="1:9" ht="17.25" x14ac:dyDescent="0.35">
      <c r="A31" s="7"/>
      <c r="B31" s="5" t="s">
        <v>86</v>
      </c>
      <c r="C31" s="6">
        <v>114658.118</v>
      </c>
      <c r="D31" s="6">
        <v>-4047.3312999999998</v>
      </c>
      <c r="E31" s="5" t="s">
        <v>0</v>
      </c>
      <c r="F31" s="5"/>
      <c r="G31" s="7"/>
      <c r="H31" s="7"/>
      <c r="I31" s="7"/>
    </row>
    <row r="32" spans="1:9" ht="17.25" x14ac:dyDescent="0.35">
      <c r="A32" s="7"/>
      <c r="B32" s="5" t="s">
        <v>85</v>
      </c>
      <c r="C32" s="6">
        <v>114662.4991</v>
      </c>
      <c r="D32" s="6">
        <v>-4061.0785999999998</v>
      </c>
      <c r="E32" s="5" t="s">
        <v>0</v>
      </c>
      <c r="F32" s="5"/>
      <c r="G32" s="7"/>
      <c r="H32" s="7"/>
      <c r="I32" s="7"/>
    </row>
    <row r="33" spans="1:9" ht="17.25" x14ac:dyDescent="0.35">
      <c r="A33" s="7"/>
      <c r="B33" s="5" t="s">
        <v>84</v>
      </c>
      <c r="C33" s="6">
        <v>114665.3138</v>
      </c>
      <c r="D33" s="6">
        <v>-4069.9110000000001</v>
      </c>
      <c r="E33" s="5" t="s">
        <v>124</v>
      </c>
      <c r="F33" s="5"/>
      <c r="G33" s="7"/>
      <c r="H33" s="7"/>
      <c r="I33" s="7"/>
    </row>
    <row r="34" spans="1:9" ht="17.25" x14ac:dyDescent="0.35">
      <c r="A34" s="7"/>
      <c r="B34" s="5" t="s">
        <v>83</v>
      </c>
      <c r="C34" s="6">
        <v>114663.95299999999</v>
      </c>
      <c r="D34" s="6">
        <v>-4065.6408000000001</v>
      </c>
      <c r="E34" s="5" t="s">
        <v>122</v>
      </c>
      <c r="F34" s="5"/>
      <c r="G34" s="7"/>
      <c r="H34" s="7"/>
      <c r="I34" s="7"/>
    </row>
    <row r="35" spans="1:9" ht="17.25" x14ac:dyDescent="0.35">
      <c r="A35" s="7"/>
      <c r="B35" s="5" t="s">
        <v>82</v>
      </c>
      <c r="C35" s="6">
        <v>114669.6069</v>
      </c>
      <c r="D35" s="6">
        <v>-4068.5619999999999</v>
      </c>
      <c r="E35" s="5" t="s">
        <v>0</v>
      </c>
      <c r="F35" s="5"/>
      <c r="G35" s="7"/>
      <c r="H35" s="7"/>
      <c r="I35" s="7"/>
    </row>
    <row r="36" spans="1:9" ht="17.25" x14ac:dyDescent="0.35">
      <c r="A36" s="7"/>
      <c r="B36" s="5" t="s">
        <v>81</v>
      </c>
      <c r="C36" s="6">
        <v>114655.1563</v>
      </c>
      <c r="D36" s="6">
        <v>-4082.4983000000002</v>
      </c>
      <c r="E36" s="5" t="s">
        <v>0</v>
      </c>
      <c r="F36" s="5"/>
      <c r="G36" s="7"/>
      <c r="H36" s="7"/>
      <c r="I36" s="8"/>
    </row>
    <row r="37" spans="1:9" ht="17.25" x14ac:dyDescent="0.35">
      <c r="A37" s="7"/>
      <c r="B37" s="5" t="s">
        <v>80</v>
      </c>
      <c r="C37" s="6">
        <v>114654.1409</v>
      </c>
      <c r="D37" s="6">
        <v>-4079.3121000000001</v>
      </c>
      <c r="E37" s="5" t="s">
        <v>0</v>
      </c>
      <c r="F37" s="5"/>
      <c r="G37" s="7"/>
      <c r="H37" s="7"/>
      <c r="I37" s="8"/>
    </row>
    <row r="38" spans="1:9" ht="17.25" x14ac:dyDescent="0.35">
      <c r="A38" s="7"/>
      <c r="B38" s="5" t="s">
        <v>79</v>
      </c>
      <c r="C38" s="6">
        <v>114652.4345</v>
      </c>
      <c r="D38" s="6">
        <v>-4073.9578000000001</v>
      </c>
      <c r="E38" s="5" t="s">
        <v>0</v>
      </c>
      <c r="F38" s="5"/>
      <c r="G38" s="7"/>
      <c r="H38" s="7"/>
      <c r="I38" s="8"/>
    </row>
    <row r="39" spans="1:9" ht="17.25" x14ac:dyDescent="0.35">
      <c r="A39" s="7"/>
      <c r="B39" s="5" t="s">
        <v>78</v>
      </c>
      <c r="C39" s="6">
        <v>114656.7276</v>
      </c>
      <c r="D39" s="6">
        <v>-4072.6089000000002</v>
      </c>
      <c r="E39" s="5" t="s">
        <v>124</v>
      </c>
      <c r="F39" s="5"/>
      <c r="G39" s="7"/>
      <c r="H39" s="7"/>
      <c r="I39" s="8"/>
    </row>
    <row r="40" spans="1:9" ht="17.25" x14ac:dyDescent="0.35">
      <c r="A40" s="7"/>
      <c r="B40" s="5" t="s">
        <v>77</v>
      </c>
      <c r="C40" s="6">
        <v>114655.3557</v>
      </c>
      <c r="D40" s="6">
        <v>-4068.3038999999999</v>
      </c>
      <c r="E40" s="5" t="s">
        <v>122</v>
      </c>
      <c r="F40" s="5"/>
      <c r="G40" s="7"/>
      <c r="H40" s="7"/>
      <c r="I40" s="8"/>
    </row>
    <row r="41" spans="1:9" ht="17.25" x14ac:dyDescent="0.35">
      <c r="A41" s="7"/>
      <c r="B41" s="5" t="s">
        <v>76</v>
      </c>
      <c r="C41" s="6">
        <v>114653.38069999999</v>
      </c>
      <c r="D41" s="6">
        <v>-4062.1066000000001</v>
      </c>
      <c r="E41" s="5" t="s">
        <v>0</v>
      </c>
      <c r="F41" s="5"/>
      <c r="G41" s="7"/>
      <c r="H41" s="7"/>
      <c r="I41" s="8"/>
    </row>
    <row r="42" spans="1:9" ht="17.25" x14ac:dyDescent="0.35">
      <c r="A42" s="7"/>
      <c r="B42" s="5" t="s">
        <v>75</v>
      </c>
      <c r="C42" s="6">
        <v>114648.6559</v>
      </c>
      <c r="D42" s="6">
        <v>-4047.2808</v>
      </c>
      <c r="E42" s="5" t="s">
        <v>0</v>
      </c>
      <c r="F42" s="5"/>
      <c r="G42" s="7"/>
      <c r="H42" s="7"/>
      <c r="I42" s="8"/>
    </row>
    <row r="43" spans="1:9" ht="17.25" x14ac:dyDescent="0.35">
      <c r="A43" s="7"/>
      <c r="B43" s="5" t="s">
        <v>74</v>
      </c>
      <c r="C43" s="6">
        <v>114643.9311</v>
      </c>
      <c r="D43" s="6">
        <v>-4032.4549000000002</v>
      </c>
      <c r="E43" s="5" t="s">
        <v>0</v>
      </c>
      <c r="F43" s="5"/>
      <c r="G43" s="7"/>
      <c r="H43" s="7"/>
      <c r="I43" s="8"/>
    </row>
    <row r="44" spans="1:9" ht="17.25" x14ac:dyDescent="0.35">
      <c r="A44" s="7"/>
      <c r="B44" s="5" t="s">
        <v>73</v>
      </c>
      <c r="C44" s="6">
        <v>114639.11040000001</v>
      </c>
      <c r="D44" s="6">
        <v>-4017.328</v>
      </c>
      <c r="E44" s="5" t="s">
        <v>124</v>
      </c>
      <c r="F44" s="5"/>
      <c r="G44" s="7"/>
      <c r="H44" s="7"/>
      <c r="I44" s="8"/>
    </row>
    <row r="45" spans="1:9" ht="17.25" x14ac:dyDescent="0.35">
      <c r="A45" s="7"/>
      <c r="B45" s="5" t="s">
        <v>72</v>
      </c>
      <c r="C45" s="6">
        <v>114640.4767</v>
      </c>
      <c r="D45" s="6">
        <v>-4021.6154999999999</v>
      </c>
      <c r="E45" s="5" t="s">
        <v>122</v>
      </c>
      <c r="F45" s="5"/>
      <c r="G45" s="7"/>
      <c r="H45" s="7"/>
      <c r="I45" s="8"/>
    </row>
    <row r="46" spans="1:9" ht="17.25" x14ac:dyDescent="0.35">
      <c r="A46" s="7"/>
      <c r="B46" s="5" t="s">
        <v>71</v>
      </c>
      <c r="C46" s="6">
        <v>114634.8119</v>
      </c>
      <c r="D46" s="6">
        <v>-4018.6595000000002</v>
      </c>
      <c r="E46" s="5" t="s">
        <v>0</v>
      </c>
      <c r="F46" s="5"/>
      <c r="G46" s="7"/>
      <c r="H46" s="7"/>
      <c r="I46" s="8"/>
    </row>
    <row r="47" spans="1:9" ht="17.25" x14ac:dyDescent="0.35">
      <c r="A47" s="7"/>
      <c r="B47" s="5" t="s">
        <v>70</v>
      </c>
      <c r="C47" s="6">
        <v>114606.4531</v>
      </c>
      <c r="D47" s="6">
        <v>-4027.4436999999998</v>
      </c>
      <c r="E47" s="5" t="s">
        <v>0</v>
      </c>
      <c r="F47" s="5"/>
      <c r="G47" s="7"/>
      <c r="H47" s="7"/>
      <c r="I47" s="8"/>
    </row>
    <row r="48" spans="1:9" ht="17.25" x14ac:dyDescent="0.35">
      <c r="A48" s="7"/>
      <c r="B48" s="5" t="s">
        <v>69</v>
      </c>
      <c r="C48" s="6">
        <v>114611.2738</v>
      </c>
      <c r="D48" s="6">
        <v>-4042.5707000000002</v>
      </c>
      <c r="E48" s="5" t="s">
        <v>0</v>
      </c>
      <c r="F48" s="5"/>
      <c r="G48" s="7"/>
      <c r="H48" s="7"/>
      <c r="I48" s="8"/>
    </row>
    <row r="49" spans="1:9" ht="17.25" x14ac:dyDescent="0.35">
      <c r="A49" s="7"/>
      <c r="B49" s="5" t="s">
        <v>68</v>
      </c>
      <c r="C49" s="6">
        <v>114615.99860000001</v>
      </c>
      <c r="D49" s="6">
        <v>-4057.3964999999998</v>
      </c>
      <c r="E49" s="5" t="s">
        <v>0</v>
      </c>
      <c r="F49" s="5"/>
      <c r="G49" s="7"/>
      <c r="H49" s="7"/>
      <c r="I49" s="8"/>
    </row>
    <row r="50" spans="1:9" ht="17.25" x14ac:dyDescent="0.35">
      <c r="A50" s="7"/>
      <c r="B50" s="5" t="s">
        <v>67</v>
      </c>
      <c r="C50" s="6">
        <v>114620.7234</v>
      </c>
      <c r="D50" s="6">
        <v>-4072.2224000000001</v>
      </c>
      <c r="E50" s="5" t="s">
        <v>0</v>
      </c>
      <c r="F50" s="5"/>
      <c r="G50" s="7"/>
      <c r="H50" s="7"/>
      <c r="I50" s="8"/>
    </row>
    <row r="51" spans="1:9" ht="17.25" x14ac:dyDescent="0.35">
      <c r="A51" s="7"/>
      <c r="B51" s="5" t="s">
        <v>66</v>
      </c>
      <c r="C51" s="6">
        <v>114625.7822</v>
      </c>
      <c r="D51" s="6">
        <v>-4088.0963000000002</v>
      </c>
      <c r="E51" s="5" t="s">
        <v>0</v>
      </c>
      <c r="F51" s="5"/>
      <c r="G51" s="7"/>
      <c r="H51" s="7"/>
      <c r="I51" s="8"/>
    </row>
    <row r="52" spans="1:9" ht="17.25" x14ac:dyDescent="0.35">
      <c r="A52" s="7"/>
      <c r="B52" s="5" t="s">
        <v>65</v>
      </c>
      <c r="C52" s="6">
        <v>114630.17720000001</v>
      </c>
      <c r="D52" s="6">
        <v>-4101.8873999999996</v>
      </c>
      <c r="E52" s="5" t="s">
        <v>0</v>
      </c>
      <c r="F52" s="5"/>
      <c r="G52" s="7"/>
      <c r="H52" s="7"/>
      <c r="I52" s="1"/>
    </row>
    <row r="53" spans="1:9" ht="17.25" x14ac:dyDescent="0.35">
      <c r="A53" s="7"/>
      <c r="B53" s="5" t="s">
        <v>64</v>
      </c>
      <c r="C53" s="6">
        <v>114594.8232</v>
      </c>
      <c r="D53" s="6">
        <v>-4112.8384999999998</v>
      </c>
      <c r="E53" s="5" t="s">
        <v>0</v>
      </c>
      <c r="F53" s="5"/>
      <c r="G53" s="7"/>
      <c r="H53" s="7"/>
      <c r="I53" s="8"/>
    </row>
    <row r="54" spans="1:9" ht="17.25" x14ac:dyDescent="0.35">
      <c r="A54" s="7"/>
      <c r="B54" s="5" t="s">
        <v>63</v>
      </c>
      <c r="C54" s="6">
        <v>114591.4436</v>
      </c>
      <c r="D54" s="6">
        <v>-4102.2335999999996</v>
      </c>
      <c r="E54" s="5" t="s">
        <v>0</v>
      </c>
      <c r="F54" s="5"/>
      <c r="G54" s="7"/>
      <c r="H54" s="7"/>
      <c r="I54" s="8"/>
    </row>
    <row r="55" spans="1:9" ht="17.25" x14ac:dyDescent="0.35">
      <c r="A55" s="7"/>
      <c r="B55" s="5" t="s">
        <v>62</v>
      </c>
      <c r="C55" s="6">
        <v>114600.04090000001</v>
      </c>
      <c r="D55" s="6">
        <v>-4099.5704999999998</v>
      </c>
      <c r="E55" s="5" t="s">
        <v>0</v>
      </c>
      <c r="F55" s="5"/>
      <c r="G55" s="7"/>
      <c r="H55" s="7"/>
      <c r="I55" s="1"/>
    </row>
    <row r="56" spans="1:9" ht="17.25" x14ac:dyDescent="0.35">
      <c r="A56" s="7"/>
      <c r="B56" s="5" t="s">
        <v>61</v>
      </c>
      <c r="C56" s="6">
        <v>114599.0255</v>
      </c>
      <c r="D56" s="6">
        <v>-4096.3842999999997</v>
      </c>
      <c r="E56" s="5" t="s">
        <v>0</v>
      </c>
      <c r="F56" s="5"/>
      <c r="G56" s="7"/>
      <c r="H56" s="7"/>
      <c r="I56" s="1"/>
    </row>
    <row r="57" spans="1:9" ht="17.25" x14ac:dyDescent="0.35">
      <c r="A57" s="7"/>
      <c r="B57" s="5" t="s">
        <v>60</v>
      </c>
      <c r="C57" s="6">
        <v>114593.00380000001</v>
      </c>
      <c r="D57" s="6">
        <v>-4092.3092999999999</v>
      </c>
      <c r="E57" s="5" t="s">
        <v>124</v>
      </c>
      <c r="F57" s="5"/>
      <c r="G57" s="7"/>
      <c r="H57" s="7"/>
      <c r="I57" s="8"/>
    </row>
    <row r="58" spans="1:9" ht="17.25" x14ac:dyDescent="0.35">
      <c r="A58" s="7"/>
      <c r="B58" s="5" t="s">
        <v>59</v>
      </c>
      <c r="C58" s="6">
        <v>114597.2969</v>
      </c>
      <c r="D58" s="6">
        <v>-4090.9603000000002</v>
      </c>
      <c r="E58" s="5" t="s">
        <v>122</v>
      </c>
      <c r="F58" s="5"/>
      <c r="G58" s="7"/>
      <c r="H58" s="7"/>
      <c r="I58" s="1"/>
    </row>
    <row r="59" spans="1:9" ht="17.25" x14ac:dyDescent="0.35">
      <c r="A59" s="7"/>
      <c r="B59" s="5" t="s">
        <v>58</v>
      </c>
      <c r="C59" s="6">
        <v>114591.643</v>
      </c>
      <c r="D59" s="6">
        <v>-4088.0392000000002</v>
      </c>
      <c r="E59" s="5" t="s">
        <v>0</v>
      </c>
      <c r="F59" s="5"/>
      <c r="G59" s="7"/>
      <c r="H59" s="7"/>
      <c r="I59" s="1"/>
    </row>
    <row r="60" spans="1:9" ht="17.25" x14ac:dyDescent="0.35">
      <c r="A60" s="7"/>
      <c r="B60" s="5" t="s">
        <v>57</v>
      </c>
      <c r="C60" s="6">
        <v>114589.66800000001</v>
      </c>
      <c r="D60" s="6">
        <v>-4081.8418999999999</v>
      </c>
      <c r="E60" s="5" t="s">
        <v>0</v>
      </c>
      <c r="F60" s="5"/>
      <c r="G60" s="7"/>
      <c r="H60" s="7"/>
      <c r="I60" s="1"/>
    </row>
    <row r="61" spans="1:9" ht="17.25" x14ac:dyDescent="0.35">
      <c r="A61" s="7"/>
      <c r="B61" s="5" t="s">
        <v>56</v>
      </c>
      <c r="C61" s="6">
        <v>114584.94319999999</v>
      </c>
      <c r="D61" s="6">
        <v>-4067.0160000000001</v>
      </c>
      <c r="E61" s="5" t="s">
        <v>0</v>
      </c>
      <c r="F61" s="5"/>
      <c r="G61" s="7"/>
      <c r="H61" s="7"/>
      <c r="I61" s="1"/>
    </row>
    <row r="62" spans="1:9" ht="17.25" x14ac:dyDescent="0.35">
      <c r="A62" s="7"/>
      <c r="B62" s="5" t="s">
        <v>55</v>
      </c>
      <c r="C62" s="6">
        <v>114580.2185</v>
      </c>
      <c r="D62" s="6">
        <v>-4052.1902</v>
      </c>
      <c r="E62" s="5" t="s">
        <v>0</v>
      </c>
      <c r="F62" s="5"/>
      <c r="G62" s="7"/>
      <c r="H62" s="7"/>
      <c r="I62" s="1"/>
    </row>
    <row r="63" spans="1:9" ht="17.25" x14ac:dyDescent="0.35">
      <c r="A63" s="7"/>
      <c r="B63" s="5" t="s">
        <v>54</v>
      </c>
      <c r="C63" s="6">
        <v>114575.3977</v>
      </c>
      <c r="D63" s="6">
        <v>-4037.0632000000001</v>
      </c>
      <c r="E63" s="5" t="s">
        <v>124</v>
      </c>
      <c r="F63" s="5"/>
      <c r="G63" s="7"/>
      <c r="H63" s="7"/>
      <c r="I63" s="1"/>
    </row>
    <row r="64" spans="1:9" ht="17.25" x14ac:dyDescent="0.35">
      <c r="A64" s="7"/>
      <c r="B64" s="5" t="s">
        <v>53</v>
      </c>
      <c r="C64" s="6">
        <v>114576.7641</v>
      </c>
      <c r="D64" s="6">
        <v>-4041.3508000000002</v>
      </c>
      <c r="E64" s="5" t="s">
        <v>122</v>
      </c>
      <c r="F64" s="5"/>
      <c r="G64" s="7"/>
      <c r="H64" s="7"/>
      <c r="I64" s="1"/>
    </row>
    <row r="65" spans="1:9" ht="17.25" x14ac:dyDescent="0.35">
      <c r="A65" s="7"/>
      <c r="B65" s="5" t="s">
        <v>52</v>
      </c>
      <c r="C65" s="6">
        <v>114579.69620000001</v>
      </c>
      <c r="D65" s="6">
        <v>-4035.7318</v>
      </c>
      <c r="E65" s="5" t="s">
        <v>0</v>
      </c>
      <c r="F65" s="5"/>
      <c r="G65" s="7"/>
      <c r="H65" s="7"/>
      <c r="I65" s="1"/>
    </row>
    <row r="66" spans="1:9" ht="17.25" x14ac:dyDescent="0.35">
      <c r="A66" s="7"/>
      <c r="B66" s="5" t="s">
        <v>51</v>
      </c>
      <c r="C66" s="6">
        <v>114566.80039999999</v>
      </c>
      <c r="D66" s="6">
        <v>-4039.7262999999998</v>
      </c>
      <c r="E66" s="5" t="s">
        <v>124</v>
      </c>
      <c r="F66" s="5"/>
      <c r="G66" s="7"/>
      <c r="H66" s="7"/>
      <c r="I66" s="1"/>
    </row>
    <row r="67" spans="1:9" ht="17.25" x14ac:dyDescent="0.35">
      <c r="A67" s="7"/>
      <c r="B67" s="5" t="s">
        <v>50</v>
      </c>
      <c r="C67" s="6">
        <v>114568.16680000001</v>
      </c>
      <c r="D67" s="6">
        <v>-4044.0138000000002</v>
      </c>
      <c r="E67" s="5" t="s">
        <v>122</v>
      </c>
      <c r="F67" s="5"/>
      <c r="G67" s="7"/>
      <c r="H67" s="7"/>
      <c r="I67" s="1"/>
    </row>
    <row r="68" spans="1:9" ht="17.25" x14ac:dyDescent="0.35">
      <c r="A68" s="7"/>
      <c r="B68" s="5" t="s">
        <v>49</v>
      </c>
      <c r="C68" s="6">
        <v>114562.5019</v>
      </c>
      <c r="D68" s="6">
        <v>-4041.0578</v>
      </c>
      <c r="E68" s="5" t="s">
        <v>0</v>
      </c>
      <c r="F68" s="5"/>
      <c r="G68" s="7"/>
      <c r="H68" s="7"/>
      <c r="I68" s="1"/>
    </row>
    <row r="69" spans="1:9" ht="17.25" x14ac:dyDescent="0.35">
      <c r="A69" s="7"/>
      <c r="B69" s="5" t="s">
        <v>48</v>
      </c>
      <c r="C69" s="6">
        <v>114571.62119999999</v>
      </c>
      <c r="D69" s="6">
        <v>-4054.8532</v>
      </c>
      <c r="E69" s="5" t="s">
        <v>0</v>
      </c>
      <c r="F69" s="5"/>
      <c r="G69" s="7"/>
      <c r="H69" s="7"/>
      <c r="I69" s="1"/>
    </row>
    <row r="70" spans="1:9" ht="17.25" x14ac:dyDescent="0.35">
      <c r="A70" s="7"/>
      <c r="B70" s="5" t="s">
        <v>47</v>
      </c>
      <c r="C70" s="6">
        <v>114576.3459</v>
      </c>
      <c r="D70" s="6">
        <v>-4069.6790999999998</v>
      </c>
      <c r="E70" s="5" t="s">
        <v>0</v>
      </c>
      <c r="F70" s="5"/>
      <c r="G70" s="7"/>
      <c r="H70" s="7"/>
      <c r="I70" s="1"/>
    </row>
    <row r="71" spans="1:9" ht="17.25" x14ac:dyDescent="0.35">
      <c r="A71" s="7"/>
      <c r="B71" s="5" t="s">
        <v>46</v>
      </c>
      <c r="C71" s="6">
        <v>114581.0707</v>
      </c>
      <c r="D71" s="6">
        <v>-4084.5048999999999</v>
      </c>
      <c r="E71" s="5" t="s">
        <v>0</v>
      </c>
      <c r="F71" s="5"/>
      <c r="G71" s="7"/>
      <c r="H71" s="7"/>
      <c r="I71" s="1"/>
    </row>
    <row r="72" spans="1:9" ht="17.25" x14ac:dyDescent="0.35">
      <c r="A72" s="7"/>
      <c r="B72" s="5" t="s">
        <v>45</v>
      </c>
      <c r="C72" s="6">
        <v>114584.41770000001</v>
      </c>
      <c r="D72" s="6">
        <v>-4095.0072</v>
      </c>
      <c r="E72" s="5" t="s">
        <v>124</v>
      </c>
      <c r="F72" s="5"/>
      <c r="G72" s="7"/>
      <c r="H72" s="7"/>
      <c r="I72" s="1"/>
    </row>
    <row r="73" spans="1:9" ht="17.25" x14ac:dyDescent="0.35">
      <c r="A73" s="7"/>
      <c r="B73" s="5" t="s">
        <v>44</v>
      </c>
      <c r="C73" s="6">
        <v>114583.0457</v>
      </c>
      <c r="D73" s="6">
        <v>-4090.7022000000002</v>
      </c>
      <c r="E73" s="5" t="s">
        <v>122</v>
      </c>
      <c r="F73" s="5"/>
      <c r="G73" s="7"/>
      <c r="H73" s="7"/>
      <c r="I73" s="1"/>
    </row>
    <row r="74" spans="1:9" ht="17.25" x14ac:dyDescent="0.35">
      <c r="A74" s="7"/>
      <c r="B74" s="5" t="s">
        <v>43</v>
      </c>
      <c r="C74" s="6">
        <v>114580.1246</v>
      </c>
      <c r="D74" s="6">
        <v>-4096.3561</v>
      </c>
      <c r="E74" s="5" t="s">
        <v>0</v>
      </c>
      <c r="F74" s="5"/>
      <c r="G74" s="7"/>
      <c r="H74" s="7"/>
      <c r="I74" s="1"/>
    </row>
    <row r="75" spans="1:9" ht="17.25" x14ac:dyDescent="0.35">
      <c r="A75" s="7"/>
      <c r="B75" s="5" t="s">
        <v>42</v>
      </c>
      <c r="C75" s="6">
        <v>114581.8309</v>
      </c>
      <c r="D75" s="6">
        <v>-4101.7103999999999</v>
      </c>
      <c r="E75" s="5" t="s">
        <v>0</v>
      </c>
      <c r="F75" s="5"/>
      <c r="G75" s="7"/>
      <c r="H75" s="7"/>
      <c r="I75" s="1"/>
    </row>
    <row r="76" spans="1:9" ht="17.25" x14ac:dyDescent="0.35">
      <c r="A76" s="7"/>
      <c r="B76" s="5" t="s">
        <v>41</v>
      </c>
      <c r="C76" s="6">
        <v>114582.8463</v>
      </c>
      <c r="D76" s="6">
        <v>-4104.8966</v>
      </c>
      <c r="E76" s="5" t="s">
        <v>0</v>
      </c>
      <c r="F76" s="5"/>
      <c r="G76" s="7"/>
      <c r="H76" s="7"/>
      <c r="I76" s="1"/>
    </row>
    <row r="77" spans="1:9" ht="17.25" x14ac:dyDescent="0.35">
      <c r="A77" s="7"/>
      <c r="B77" s="5" t="s">
        <v>40</v>
      </c>
      <c r="C77" s="6">
        <v>114559.46920000001</v>
      </c>
      <c r="D77" s="6">
        <v>-4123.7894999999999</v>
      </c>
      <c r="E77" s="5" t="s">
        <v>0</v>
      </c>
      <c r="F77" s="5"/>
      <c r="G77" s="7"/>
      <c r="H77" s="7"/>
      <c r="I77" s="1"/>
    </row>
    <row r="78" spans="1:9" ht="17.25" x14ac:dyDescent="0.35">
      <c r="A78" s="7"/>
      <c r="B78" s="5" t="s">
        <v>39</v>
      </c>
      <c r="C78" s="6">
        <v>114555.0742</v>
      </c>
      <c r="D78" s="6">
        <v>-4109.9984000000004</v>
      </c>
      <c r="E78" s="5" t="s">
        <v>0</v>
      </c>
      <c r="F78" s="5"/>
      <c r="G78" s="7"/>
      <c r="H78" s="7"/>
      <c r="I78" s="1"/>
    </row>
    <row r="79" spans="1:9" ht="17.25" x14ac:dyDescent="0.35">
      <c r="A79" s="7"/>
      <c r="B79" s="5" t="s">
        <v>38</v>
      </c>
      <c r="C79" s="6">
        <v>114550.0154</v>
      </c>
      <c r="D79" s="6">
        <v>-4094.1244999999999</v>
      </c>
      <c r="E79" s="5" t="s">
        <v>0</v>
      </c>
      <c r="F79" s="5"/>
      <c r="G79" s="7"/>
      <c r="H79" s="7"/>
      <c r="I79" s="1"/>
    </row>
    <row r="80" spans="1:9" ht="17.25" x14ac:dyDescent="0.35">
      <c r="A80" s="7"/>
      <c r="B80" s="5" t="s">
        <v>37</v>
      </c>
      <c r="C80" s="6">
        <v>114545.29059999999</v>
      </c>
      <c r="D80" s="6">
        <v>-4079.2986000000001</v>
      </c>
      <c r="E80" s="5" t="s">
        <v>0</v>
      </c>
      <c r="F80" s="5"/>
      <c r="G80" s="7"/>
      <c r="H80" s="7"/>
      <c r="I80" s="1"/>
    </row>
    <row r="81" spans="1:9" ht="17.25" x14ac:dyDescent="0.35">
      <c r="A81" s="7"/>
      <c r="B81" s="5" t="s">
        <v>36</v>
      </c>
      <c r="C81" s="6">
        <v>114540.5658</v>
      </c>
      <c r="D81" s="6">
        <v>-4064.4728</v>
      </c>
      <c r="E81" s="5" t="s">
        <v>0</v>
      </c>
      <c r="F81" s="5"/>
      <c r="G81" s="7"/>
      <c r="H81" s="7"/>
      <c r="I81" s="1"/>
    </row>
    <row r="82" spans="1:9" ht="17.25" x14ac:dyDescent="0.35">
      <c r="A82" s="7"/>
      <c r="B82" s="5" t="s">
        <v>35</v>
      </c>
      <c r="C82" s="6">
        <v>114535.7451</v>
      </c>
      <c r="D82" s="6">
        <v>-4049.3458000000001</v>
      </c>
      <c r="E82" s="5" t="s">
        <v>0</v>
      </c>
      <c r="F82" s="5"/>
      <c r="G82" s="7"/>
      <c r="H82" s="7"/>
      <c r="I82" s="1"/>
    </row>
    <row r="83" spans="1:9" ht="17.25" x14ac:dyDescent="0.35">
      <c r="A83" s="7"/>
      <c r="B83" s="5" t="s">
        <v>34</v>
      </c>
      <c r="C83" s="6">
        <v>114504.6897</v>
      </c>
      <c r="D83" s="6">
        <v>-4058.9652999999998</v>
      </c>
      <c r="E83" s="5" t="s">
        <v>124</v>
      </c>
      <c r="F83" s="5"/>
      <c r="G83" s="7"/>
      <c r="H83" s="7"/>
      <c r="I83" s="1"/>
    </row>
    <row r="84" spans="1:9" ht="17.25" x14ac:dyDescent="0.35">
      <c r="A84" s="7"/>
      <c r="B84" s="5" t="s">
        <v>33</v>
      </c>
      <c r="C84" s="6">
        <v>114506.0561</v>
      </c>
      <c r="D84" s="6">
        <v>-4063.2529</v>
      </c>
      <c r="E84" s="5" t="s">
        <v>122</v>
      </c>
      <c r="F84" s="5"/>
      <c r="G84" s="7"/>
      <c r="H84" s="7"/>
      <c r="I84" s="1"/>
    </row>
    <row r="85" spans="1:9" ht="17.25" x14ac:dyDescent="0.35">
      <c r="A85" s="7"/>
      <c r="B85" s="5" t="s">
        <v>32</v>
      </c>
      <c r="C85" s="6">
        <v>114508.98820000001</v>
      </c>
      <c r="D85" s="6">
        <v>-4057.6338999999998</v>
      </c>
      <c r="E85" s="5" t="s">
        <v>0</v>
      </c>
      <c r="F85" s="5"/>
      <c r="G85" s="7"/>
      <c r="H85" s="7"/>
      <c r="I85" s="1"/>
    </row>
    <row r="86" spans="1:9" ht="17.25" x14ac:dyDescent="0.35">
      <c r="A86" s="7"/>
      <c r="B86" s="5" t="s">
        <v>31</v>
      </c>
      <c r="C86" s="6">
        <v>114509.5105</v>
      </c>
      <c r="D86" s="6">
        <v>-4074.0922999999998</v>
      </c>
      <c r="E86" s="5" t="s">
        <v>0</v>
      </c>
      <c r="F86" s="5"/>
      <c r="G86" s="7"/>
      <c r="H86" s="7"/>
      <c r="I86" s="1"/>
    </row>
    <row r="87" spans="1:9" ht="17.25" x14ac:dyDescent="0.35">
      <c r="A87" s="7"/>
      <c r="B87" s="5" t="s">
        <v>30</v>
      </c>
      <c r="C87" s="6">
        <v>114514.2353</v>
      </c>
      <c r="D87" s="6">
        <v>-4088.9180999999999</v>
      </c>
      <c r="E87" s="5" t="s">
        <v>0</v>
      </c>
      <c r="F87" s="5"/>
      <c r="G87" s="7"/>
      <c r="H87" s="7"/>
      <c r="I87" s="1"/>
    </row>
    <row r="88" spans="1:9" ht="17.25" x14ac:dyDescent="0.35">
      <c r="A88" s="7"/>
      <c r="B88" s="5" t="s">
        <v>29</v>
      </c>
      <c r="C88" s="6">
        <v>114518.96</v>
      </c>
      <c r="D88" s="6">
        <v>-4103.7439999999997</v>
      </c>
      <c r="E88" s="5" t="s">
        <v>0</v>
      </c>
      <c r="F88" s="5"/>
      <c r="G88" s="7"/>
      <c r="H88" s="7"/>
      <c r="I88" s="1"/>
    </row>
    <row r="89" spans="1:9" ht="17.25" x14ac:dyDescent="0.35">
      <c r="A89" s="7"/>
      <c r="B89" s="5" t="s">
        <v>28</v>
      </c>
      <c r="C89" s="6">
        <v>114522.2959</v>
      </c>
      <c r="D89" s="6">
        <v>-4114.2114000000001</v>
      </c>
      <c r="E89" s="5" t="s">
        <v>124</v>
      </c>
      <c r="F89" s="5"/>
      <c r="G89" s="7"/>
      <c r="H89" s="7"/>
      <c r="I89" s="1"/>
    </row>
    <row r="90" spans="1:9" ht="17.25" x14ac:dyDescent="0.35">
      <c r="A90" s="7"/>
      <c r="B90" s="5" t="s">
        <v>27</v>
      </c>
      <c r="C90" s="6">
        <v>114520.935</v>
      </c>
      <c r="D90" s="6">
        <v>-4109.9413000000004</v>
      </c>
      <c r="E90" s="5" t="s">
        <v>122</v>
      </c>
      <c r="F90" s="5"/>
      <c r="G90" s="7"/>
      <c r="H90" s="7"/>
      <c r="I90" s="1"/>
    </row>
    <row r="91" spans="1:9" ht="17.25" x14ac:dyDescent="0.35">
      <c r="A91" s="7"/>
      <c r="B91" s="5" t="s">
        <v>26</v>
      </c>
      <c r="C91" s="6">
        <v>114526.5889</v>
      </c>
      <c r="D91" s="6">
        <v>-4112.8624</v>
      </c>
      <c r="E91" s="5" t="s">
        <v>0</v>
      </c>
      <c r="F91" s="5"/>
      <c r="G91" s="7"/>
      <c r="H91" s="7"/>
      <c r="I91" s="1"/>
    </row>
    <row r="92" spans="1:9" ht="17.25" x14ac:dyDescent="0.35">
      <c r="A92" s="7"/>
      <c r="B92" s="5" t="s">
        <v>25</v>
      </c>
      <c r="C92" s="6">
        <v>114528.3175</v>
      </c>
      <c r="D92" s="6">
        <v>-4118.2864</v>
      </c>
      <c r="E92" s="5" t="s">
        <v>0</v>
      </c>
      <c r="F92" s="5"/>
      <c r="G92" s="7"/>
      <c r="H92" s="7"/>
      <c r="I92" s="1"/>
    </row>
    <row r="93" spans="1:9" ht="17.25" x14ac:dyDescent="0.35">
      <c r="A93" s="7"/>
      <c r="B93" s="5" t="s">
        <v>24</v>
      </c>
      <c r="C93" s="6">
        <v>114529.33289999999</v>
      </c>
      <c r="D93" s="6">
        <v>-4121.4726000000001</v>
      </c>
      <c r="E93" s="5" t="s">
        <v>0</v>
      </c>
      <c r="F93" s="5"/>
      <c r="G93" s="7"/>
      <c r="H93" s="7"/>
      <c r="I93" s="1"/>
    </row>
    <row r="94" spans="1:9" ht="17.25" x14ac:dyDescent="0.35">
      <c r="A94" s="7"/>
      <c r="B94" s="5" t="s">
        <v>23</v>
      </c>
      <c r="C94" s="6">
        <v>114520.7356</v>
      </c>
      <c r="D94" s="6">
        <v>-4124.1356999999998</v>
      </c>
      <c r="E94" s="5" t="s">
        <v>0</v>
      </c>
      <c r="F94" s="5"/>
      <c r="G94" s="7"/>
      <c r="H94" s="7"/>
      <c r="I94" s="1"/>
    </row>
    <row r="95" spans="1:9" ht="17.25" x14ac:dyDescent="0.35">
      <c r="A95" s="7"/>
      <c r="B95" s="5" t="s">
        <v>22</v>
      </c>
      <c r="C95" s="6">
        <v>114524.1152</v>
      </c>
      <c r="D95" s="6">
        <v>-4134.7406000000001</v>
      </c>
      <c r="E95" s="5" t="s">
        <v>0</v>
      </c>
      <c r="F95" s="5"/>
      <c r="G95" s="7"/>
      <c r="H95" s="7"/>
      <c r="I95" s="1"/>
    </row>
    <row r="96" spans="1:9" ht="17.25" x14ac:dyDescent="0.35">
      <c r="A96" s="7"/>
      <c r="B96" s="5" t="s">
        <v>21</v>
      </c>
      <c r="C96" s="6">
        <v>114512.13830000001</v>
      </c>
      <c r="D96" s="6">
        <v>-4126.7987000000003</v>
      </c>
      <c r="E96" s="5" t="s">
        <v>0</v>
      </c>
      <c r="F96" s="5"/>
      <c r="G96" s="7"/>
      <c r="H96" s="7"/>
      <c r="I96" s="1"/>
    </row>
    <row r="97" spans="1:9" ht="17.25" x14ac:dyDescent="0.35">
      <c r="A97" s="7"/>
      <c r="B97" s="5" t="s">
        <v>20</v>
      </c>
      <c r="C97" s="6">
        <v>114511.1229</v>
      </c>
      <c r="D97" s="6">
        <v>-4123.6125000000002</v>
      </c>
      <c r="E97" s="5" t="s">
        <v>0</v>
      </c>
      <c r="F97" s="5"/>
      <c r="G97" s="7"/>
      <c r="H97" s="7"/>
      <c r="I97" s="1"/>
    </row>
    <row r="98" spans="1:9" ht="17.25" x14ac:dyDescent="0.35">
      <c r="A98" s="7"/>
      <c r="B98" s="5" t="s">
        <v>19</v>
      </c>
      <c r="C98" s="6">
        <v>114509.4166</v>
      </c>
      <c r="D98" s="6">
        <v>-4118.2582000000002</v>
      </c>
      <c r="E98" s="5" t="s">
        <v>0</v>
      </c>
      <c r="F98" s="5"/>
      <c r="G98" s="7"/>
      <c r="H98" s="7"/>
      <c r="I98" s="1"/>
    </row>
    <row r="99" spans="1:9" ht="17.25" x14ac:dyDescent="0.35">
      <c r="A99" s="7"/>
      <c r="B99" s="5" t="s">
        <v>18</v>
      </c>
      <c r="C99" s="6">
        <v>114513.70970000001</v>
      </c>
      <c r="D99" s="6">
        <v>-4116.9093000000003</v>
      </c>
      <c r="E99" s="5" t="s">
        <v>124</v>
      </c>
      <c r="F99" s="5"/>
      <c r="G99" s="7"/>
      <c r="H99" s="7"/>
      <c r="I99" s="1"/>
    </row>
    <row r="100" spans="1:9" ht="17.25" x14ac:dyDescent="0.35">
      <c r="A100" s="1"/>
      <c r="B100" s="5" t="s">
        <v>17</v>
      </c>
      <c r="C100" s="6">
        <v>114512.3377</v>
      </c>
      <c r="D100" s="6">
        <v>-4112.6043</v>
      </c>
      <c r="E100" s="5" t="s">
        <v>122</v>
      </c>
      <c r="F100" s="5"/>
      <c r="G100" s="1"/>
      <c r="H100" s="1"/>
      <c r="I100" s="1"/>
    </row>
    <row r="101" spans="1:9" ht="17.25" x14ac:dyDescent="0.35">
      <c r="A101" s="1"/>
      <c r="B101" s="5" t="s">
        <v>16</v>
      </c>
      <c r="C101" s="6">
        <v>114510.3627</v>
      </c>
      <c r="D101" s="6">
        <v>-4106.4070000000002</v>
      </c>
      <c r="E101" s="5" t="s">
        <v>0</v>
      </c>
      <c r="F101" s="5"/>
      <c r="G101" s="1"/>
      <c r="H101" s="1"/>
      <c r="I101" s="1"/>
    </row>
    <row r="102" spans="1:9" ht="17.25" x14ac:dyDescent="0.35">
      <c r="A102" s="1"/>
      <c r="B102" s="5" t="s">
        <v>15</v>
      </c>
      <c r="C102" s="6">
        <v>114505.63800000001</v>
      </c>
      <c r="D102" s="6">
        <v>-4091.5812000000001</v>
      </c>
      <c r="E102" s="5" t="s">
        <v>0</v>
      </c>
      <c r="F102" s="5"/>
      <c r="G102" s="1"/>
      <c r="H102" s="1"/>
      <c r="I102" s="1"/>
    </row>
    <row r="103" spans="1:9" ht="17.25" x14ac:dyDescent="0.35">
      <c r="A103" s="1"/>
      <c r="B103" s="5" t="s">
        <v>14</v>
      </c>
      <c r="C103" s="6">
        <v>114500.9132</v>
      </c>
      <c r="D103" s="6">
        <v>-4076.7552999999998</v>
      </c>
      <c r="E103" s="5" t="s">
        <v>0</v>
      </c>
      <c r="F103" s="5"/>
      <c r="G103" s="1"/>
      <c r="H103" s="1"/>
      <c r="I103" s="1"/>
    </row>
    <row r="104" spans="1:9" ht="17.25" x14ac:dyDescent="0.35">
      <c r="A104" s="1"/>
      <c r="B104" s="5" t="s">
        <v>13</v>
      </c>
      <c r="C104" s="6">
        <v>114496.09239999999</v>
      </c>
      <c r="D104" s="6">
        <v>-4061.6284000000001</v>
      </c>
      <c r="E104" s="5" t="s">
        <v>124</v>
      </c>
      <c r="F104" s="5"/>
      <c r="G104" s="1"/>
      <c r="H104" s="1"/>
      <c r="I104" s="1"/>
    </row>
    <row r="105" spans="1:9" ht="17.25" x14ac:dyDescent="0.35">
      <c r="A105" s="1"/>
      <c r="B105" s="5" t="s">
        <v>12</v>
      </c>
      <c r="C105" s="6">
        <v>114497.45879999999</v>
      </c>
      <c r="D105" s="6">
        <v>-4065.9159</v>
      </c>
      <c r="E105" s="5" t="s">
        <v>122</v>
      </c>
      <c r="F105" s="5"/>
      <c r="G105" s="1"/>
      <c r="H105" s="1"/>
      <c r="I105" s="1"/>
    </row>
    <row r="106" spans="1:9" ht="17.25" x14ac:dyDescent="0.35">
      <c r="A106" s="1"/>
      <c r="B106" s="5" t="s">
        <v>11</v>
      </c>
      <c r="C106" s="6">
        <v>114491.7939</v>
      </c>
      <c r="D106" s="6">
        <v>-4062.9598999999998</v>
      </c>
      <c r="E106" s="5" t="s">
        <v>0</v>
      </c>
      <c r="F106" s="5"/>
      <c r="G106" s="1"/>
      <c r="H106" s="1"/>
      <c r="I106" s="1"/>
    </row>
    <row r="107" spans="1:9" ht="17.25" x14ac:dyDescent="0.35">
      <c r="A107" s="1"/>
      <c r="B107" s="5" t="s">
        <v>10</v>
      </c>
      <c r="C107" s="6">
        <v>114465.0371</v>
      </c>
      <c r="D107" s="6">
        <v>-4071.2478999999998</v>
      </c>
      <c r="E107" s="5" t="s">
        <v>0</v>
      </c>
      <c r="F107" s="5"/>
      <c r="G107" s="1"/>
      <c r="H107" s="1"/>
      <c r="I107" s="1"/>
    </row>
    <row r="108" spans="1:9" ht="17.25" x14ac:dyDescent="0.35">
      <c r="A108" s="1"/>
      <c r="B108" s="5" t="s">
        <v>9</v>
      </c>
      <c r="C108" s="6">
        <v>114469.8578</v>
      </c>
      <c r="D108" s="6">
        <v>-4086.3748999999998</v>
      </c>
      <c r="E108" s="5" t="s">
        <v>0</v>
      </c>
      <c r="F108" s="5"/>
      <c r="G108" s="1"/>
      <c r="H108" s="1"/>
      <c r="I108" s="1"/>
    </row>
    <row r="109" spans="1:9" ht="17.25" x14ac:dyDescent="0.35">
      <c r="A109" s="1"/>
      <c r="B109" s="5" t="s">
        <v>8</v>
      </c>
      <c r="C109" s="6">
        <v>114474.58259999999</v>
      </c>
      <c r="D109" s="6">
        <v>-4101.2007000000003</v>
      </c>
      <c r="E109" s="5" t="s">
        <v>0</v>
      </c>
      <c r="F109" s="5"/>
      <c r="G109" s="1"/>
      <c r="H109" s="1"/>
      <c r="I109" s="1"/>
    </row>
    <row r="110" spans="1:9" ht="17.25" x14ac:dyDescent="0.35">
      <c r="A110" s="1"/>
      <c r="B110" s="5" t="s">
        <v>7</v>
      </c>
      <c r="C110" s="6">
        <v>114479.30740000001</v>
      </c>
      <c r="D110" s="6">
        <v>-4116.0266000000001</v>
      </c>
      <c r="E110" s="5" t="s">
        <v>0</v>
      </c>
      <c r="F110" s="5"/>
      <c r="G110" s="1"/>
      <c r="H110" s="1"/>
      <c r="I110" s="1"/>
    </row>
    <row r="111" spans="1:9" ht="17.25" x14ac:dyDescent="0.35">
      <c r="A111" s="1"/>
      <c r="B111" s="5" t="s">
        <v>6</v>
      </c>
      <c r="C111" s="6">
        <v>114484.3662</v>
      </c>
      <c r="D111" s="6">
        <v>-4131.9004999999997</v>
      </c>
      <c r="E111" s="5" t="s">
        <v>0</v>
      </c>
      <c r="F111" s="5"/>
      <c r="G111" s="1"/>
      <c r="H111" s="1"/>
      <c r="I111" s="1"/>
    </row>
    <row r="112" spans="1:9" ht="17.25" x14ac:dyDescent="0.35">
      <c r="A112" s="1"/>
      <c r="B112" s="5" t="s">
        <v>5</v>
      </c>
      <c r="C112" s="6">
        <v>114488.76119999999</v>
      </c>
      <c r="D112" s="6">
        <v>-4145.6916000000001</v>
      </c>
      <c r="E112" s="5" t="s">
        <v>0</v>
      </c>
      <c r="F112" s="5"/>
      <c r="G112" s="1"/>
      <c r="H112" s="1"/>
      <c r="I112" s="1"/>
    </row>
    <row r="113" spans="1:9" ht="17.25" x14ac:dyDescent="0.35">
      <c r="A113" s="1"/>
      <c r="B113" s="5" t="s">
        <v>4</v>
      </c>
      <c r="C113" s="6">
        <v>114438.80250000001</v>
      </c>
      <c r="D113" s="6">
        <v>-4095.9944</v>
      </c>
      <c r="E113" s="5" t="s">
        <v>326</v>
      </c>
      <c r="F113" s="5"/>
      <c r="G113" s="1"/>
      <c r="H113" s="1"/>
      <c r="I113" s="1"/>
    </row>
    <row r="114" spans="1:9" ht="17.25" x14ac:dyDescent="0.35">
      <c r="A114" s="1"/>
      <c r="B114" s="5" t="s">
        <v>3</v>
      </c>
      <c r="C114" s="6">
        <v>114443.5273</v>
      </c>
      <c r="D114" s="6">
        <v>-4110.8202000000001</v>
      </c>
      <c r="E114" s="5" t="s">
        <v>0</v>
      </c>
      <c r="F114" s="5"/>
      <c r="G114" s="1"/>
      <c r="H114" s="1"/>
      <c r="I114" s="1"/>
    </row>
    <row r="115" spans="1:9" ht="17.25" x14ac:dyDescent="0.35">
      <c r="A115" s="1"/>
      <c r="B115" s="5" t="s">
        <v>2</v>
      </c>
      <c r="C115" s="6">
        <v>114448.2521</v>
      </c>
      <c r="D115" s="6">
        <v>-4125.6460999999999</v>
      </c>
      <c r="E115" s="5" t="s">
        <v>0</v>
      </c>
      <c r="F115" s="5"/>
      <c r="G115" s="1"/>
      <c r="H115" s="1"/>
      <c r="I115" s="1"/>
    </row>
    <row r="116" spans="1:9" ht="17.25" x14ac:dyDescent="0.35">
      <c r="A116" s="1"/>
      <c r="B116" s="5" t="s">
        <v>1</v>
      </c>
      <c r="C116" s="6">
        <v>114457.60950000001</v>
      </c>
      <c r="D116" s="6">
        <v>-4140.1885000000002</v>
      </c>
      <c r="E116" s="5" t="s">
        <v>0</v>
      </c>
      <c r="F116" s="5"/>
      <c r="G116" s="1"/>
      <c r="H116" s="1"/>
      <c r="I116" s="1"/>
    </row>
    <row r="117" spans="1:9" ht="17.25" x14ac:dyDescent="0.35">
      <c r="A117" s="1"/>
      <c r="B117" s="5"/>
      <c r="C117" s="6"/>
      <c r="D117" s="6"/>
      <c r="E117" s="5"/>
      <c r="F117" s="5"/>
      <c r="G117" s="1"/>
      <c r="H117" s="1"/>
      <c r="I117" s="1"/>
    </row>
    <row r="118" spans="1:9" ht="17.25" x14ac:dyDescent="0.35">
      <c r="A118" s="1"/>
      <c r="B118" s="5"/>
      <c r="C118" s="6"/>
      <c r="D118" s="6"/>
      <c r="E118" s="5"/>
      <c r="F118" s="5"/>
      <c r="G118" s="1"/>
      <c r="H118" s="1"/>
      <c r="I118" s="1"/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B20-EAB7-46AD-BD98-D48B0A8F763B}">
  <dimension ref="A2:J24"/>
  <sheetViews>
    <sheetView topLeftCell="A2" workbookViewId="0">
      <selection activeCell="K12" sqref="K12"/>
    </sheetView>
  </sheetViews>
  <sheetFormatPr defaultRowHeight="15" x14ac:dyDescent="0.25"/>
  <cols>
    <col min="1" max="1" width="12.7109375" customWidth="1"/>
    <col min="3" max="3" width="11.5703125" style="17" customWidth="1"/>
    <col min="4" max="4" width="10.42578125" style="17" customWidth="1"/>
    <col min="5" max="5" width="5.7109375" customWidth="1"/>
    <col min="6" max="6" width="11.7109375" customWidth="1"/>
    <col min="7" max="7" width="14.42578125" customWidth="1"/>
    <col min="257" max="257" width="12.7109375" customWidth="1"/>
    <col min="259" max="259" width="11.5703125" customWidth="1"/>
    <col min="260" max="260" width="10.42578125" customWidth="1"/>
    <col min="261" max="261" width="5.7109375" customWidth="1"/>
    <col min="262" max="262" width="11.7109375" customWidth="1"/>
    <col min="263" max="263" width="14.42578125" customWidth="1"/>
    <col min="513" max="513" width="12.7109375" customWidth="1"/>
    <col min="515" max="515" width="11.5703125" customWidth="1"/>
    <col min="516" max="516" width="10.42578125" customWidth="1"/>
    <col min="517" max="517" width="5.7109375" customWidth="1"/>
    <col min="518" max="518" width="11.7109375" customWidth="1"/>
    <col min="519" max="519" width="14.42578125" customWidth="1"/>
    <col min="769" max="769" width="12.7109375" customWidth="1"/>
    <col min="771" max="771" width="11.5703125" customWidth="1"/>
    <col min="772" max="772" width="10.42578125" customWidth="1"/>
    <col min="773" max="773" width="5.7109375" customWidth="1"/>
    <col min="774" max="774" width="11.7109375" customWidth="1"/>
    <col min="775" max="775" width="14.42578125" customWidth="1"/>
    <col min="1025" max="1025" width="12.7109375" customWidth="1"/>
    <col min="1027" max="1027" width="11.5703125" customWidth="1"/>
    <col min="1028" max="1028" width="10.42578125" customWidth="1"/>
    <col min="1029" max="1029" width="5.7109375" customWidth="1"/>
    <col min="1030" max="1030" width="11.7109375" customWidth="1"/>
    <col min="1031" max="1031" width="14.42578125" customWidth="1"/>
    <col min="1281" max="1281" width="12.7109375" customWidth="1"/>
    <col min="1283" max="1283" width="11.5703125" customWidth="1"/>
    <col min="1284" max="1284" width="10.42578125" customWidth="1"/>
    <col min="1285" max="1285" width="5.7109375" customWidth="1"/>
    <col min="1286" max="1286" width="11.7109375" customWidth="1"/>
    <col min="1287" max="1287" width="14.42578125" customWidth="1"/>
    <col min="1537" max="1537" width="12.7109375" customWidth="1"/>
    <col min="1539" max="1539" width="11.5703125" customWidth="1"/>
    <col min="1540" max="1540" width="10.42578125" customWidth="1"/>
    <col min="1541" max="1541" width="5.7109375" customWidth="1"/>
    <col min="1542" max="1542" width="11.7109375" customWidth="1"/>
    <col min="1543" max="1543" width="14.42578125" customWidth="1"/>
    <col min="1793" max="1793" width="12.7109375" customWidth="1"/>
    <col min="1795" max="1795" width="11.5703125" customWidth="1"/>
    <col min="1796" max="1796" width="10.42578125" customWidth="1"/>
    <col min="1797" max="1797" width="5.7109375" customWidth="1"/>
    <col min="1798" max="1798" width="11.7109375" customWidth="1"/>
    <col min="1799" max="1799" width="14.42578125" customWidth="1"/>
    <col min="2049" max="2049" width="12.7109375" customWidth="1"/>
    <col min="2051" max="2051" width="11.5703125" customWidth="1"/>
    <col min="2052" max="2052" width="10.42578125" customWidth="1"/>
    <col min="2053" max="2053" width="5.7109375" customWidth="1"/>
    <col min="2054" max="2054" width="11.7109375" customWidth="1"/>
    <col min="2055" max="2055" width="14.42578125" customWidth="1"/>
    <col min="2305" max="2305" width="12.7109375" customWidth="1"/>
    <col min="2307" max="2307" width="11.5703125" customWidth="1"/>
    <col min="2308" max="2308" width="10.42578125" customWidth="1"/>
    <col min="2309" max="2309" width="5.7109375" customWidth="1"/>
    <col min="2310" max="2310" width="11.7109375" customWidth="1"/>
    <col min="2311" max="2311" width="14.42578125" customWidth="1"/>
    <col min="2561" max="2561" width="12.7109375" customWidth="1"/>
    <col min="2563" max="2563" width="11.5703125" customWidth="1"/>
    <col min="2564" max="2564" width="10.42578125" customWidth="1"/>
    <col min="2565" max="2565" width="5.7109375" customWidth="1"/>
    <col min="2566" max="2566" width="11.7109375" customWidth="1"/>
    <col min="2567" max="2567" width="14.42578125" customWidth="1"/>
    <col min="2817" max="2817" width="12.7109375" customWidth="1"/>
    <col min="2819" max="2819" width="11.5703125" customWidth="1"/>
    <col min="2820" max="2820" width="10.42578125" customWidth="1"/>
    <col min="2821" max="2821" width="5.7109375" customWidth="1"/>
    <col min="2822" max="2822" width="11.7109375" customWidth="1"/>
    <col min="2823" max="2823" width="14.42578125" customWidth="1"/>
    <col min="3073" max="3073" width="12.7109375" customWidth="1"/>
    <col min="3075" max="3075" width="11.5703125" customWidth="1"/>
    <col min="3076" max="3076" width="10.42578125" customWidth="1"/>
    <col min="3077" max="3077" width="5.7109375" customWidth="1"/>
    <col min="3078" max="3078" width="11.7109375" customWidth="1"/>
    <col min="3079" max="3079" width="14.42578125" customWidth="1"/>
    <col min="3329" max="3329" width="12.7109375" customWidth="1"/>
    <col min="3331" max="3331" width="11.5703125" customWidth="1"/>
    <col min="3332" max="3332" width="10.42578125" customWidth="1"/>
    <col min="3333" max="3333" width="5.7109375" customWidth="1"/>
    <col min="3334" max="3334" width="11.7109375" customWidth="1"/>
    <col min="3335" max="3335" width="14.42578125" customWidth="1"/>
    <col min="3585" max="3585" width="12.7109375" customWidth="1"/>
    <col min="3587" max="3587" width="11.5703125" customWidth="1"/>
    <col min="3588" max="3588" width="10.42578125" customWidth="1"/>
    <col min="3589" max="3589" width="5.7109375" customWidth="1"/>
    <col min="3590" max="3590" width="11.7109375" customWidth="1"/>
    <col min="3591" max="3591" width="14.42578125" customWidth="1"/>
    <col min="3841" max="3841" width="12.7109375" customWidth="1"/>
    <col min="3843" max="3843" width="11.5703125" customWidth="1"/>
    <col min="3844" max="3844" width="10.42578125" customWidth="1"/>
    <col min="3845" max="3845" width="5.7109375" customWidth="1"/>
    <col min="3846" max="3846" width="11.7109375" customWidth="1"/>
    <col min="3847" max="3847" width="14.42578125" customWidth="1"/>
    <col min="4097" max="4097" width="12.7109375" customWidth="1"/>
    <col min="4099" max="4099" width="11.5703125" customWidth="1"/>
    <col min="4100" max="4100" width="10.42578125" customWidth="1"/>
    <col min="4101" max="4101" width="5.7109375" customWidth="1"/>
    <col min="4102" max="4102" width="11.7109375" customWidth="1"/>
    <col min="4103" max="4103" width="14.42578125" customWidth="1"/>
    <col min="4353" max="4353" width="12.7109375" customWidth="1"/>
    <col min="4355" max="4355" width="11.5703125" customWidth="1"/>
    <col min="4356" max="4356" width="10.42578125" customWidth="1"/>
    <col min="4357" max="4357" width="5.7109375" customWidth="1"/>
    <col min="4358" max="4358" width="11.7109375" customWidth="1"/>
    <col min="4359" max="4359" width="14.42578125" customWidth="1"/>
    <col min="4609" max="4609" width="12.7109375" customWidth="1"/>
    <col min="4611" max="4611" width="11.5703125" customWidth="1"/>
    <col min="4612" max="4612" width="10.42578125" customWidth="1"/>
    <col min="4613" max="4613" width="5.7109375" customWidth="1"/>
    <col min="4614" max="4614" width="11.7109375" customWidth="1"/>
    <col min="4615" max="4615" width="14.42578125" customWidth="1"/>
    <col min="4865" max="4865" width="12.7109375" customWidth="1"/>
    <col min="4867" max="4867" width="11.5703125" customWidth="1"/>
    <col min="4868" max="4868" width="10.42578125" customWidth="1"/>
    <col min="4869" max="4869" width="5.7109375" customWidth="1"/>
    <col min="4870" max="4870" width="11.7109375" customWidth="1"/>
    <col min="4871" max="4871" width="14.42578125" customWidth="1"/>
    <col min="5121" max="5121" width="12.7109375" customWidth="1"/>
    <col min="5123" max="5123" width="11.5703125" customWidth="1"/>
    <col min="5124" max="5124" width="10.42578125" customWidth="1"/>
    <col min="5125" max="5125" width="5.7109375" customWidth="1"/>
    <col min="5126" max="5126" width="11.7109375" customWidth="1"/>
    <col min="5127" max="5127" width="14.42578125" customWidth="1"/>
    <col min="5377" max="5377" width="12.7109375" customWidth="1"/>
    <col min="5379" max="5379" width="11.5703125" customWidth="1"/>
    <col min="5380" max="5380" width="10.42578125" customWidth="1"/>
    <col min="5381" max="5381" width="5.7109375" customWidth="1"/>
    <col min="5382" max="5382" width="11.7109375" customWidth="1"/>
    <col min="5383" max="5383" width="14.42578125" customWidth="1"/>
    <col min="5633" max="5633" width="12.7109375" customWidth="1"/>
    <col min="5635" max="5635" width="11.5703125" customWidth="1"/>
    <col min="5636" max="5636" width="10.42578125" customWidth="1"/>
    <col min="5637" max="5637" width="5.7109375" customWidth="1"/>
    <col min="5638" max="5638" width="11.7109375" customWidth="1"/>
    <col min="5639" max="5639" width="14.42578125" customWidth="1"/>
    <col min="5889" max="5889" width="12.7109375" customWidth="1"/>
    <col min="5891" max="5891" width="11.5703125" customWidth="1"/>
    <col min="5892" max="5892" width="10.42578125" customWidth="1"/>
    <col min="5893" max="5893" width="5.7109375" customWidth="1"/>
    <col min="5894" max="5894" width="11.7109375" customWidth="1"/>
    <col min="5895" max="5895" width="14.42578125" customWidth="1"/>
    <col min="6145" max="6145" width="12.7109375" customWidth="1"/>
    <col min="6147" max="6147" width="11.5703125" customWidth="1"/>
    <col min="6148" max="6148" width="10.42578125" customWidth="1"/>
    <col min="6149" max="6149" width="5.7109375" customWidth="1"/>
    <col min="6150" max="6150" width="11.7109375" customWidth="1"/>
    <col min="6151" max="6151" width="14.42578125" customWidth="1"/>
    <col min="6401" max="6401" width="12.7109375" customWidth="1"/>
    <col min="6403" max="6403" width="11.5703125" customWidth="1"/>
    <col min="6404" max="6404" width="10.42578125" customWidth="1"/>
    <col min="6405" max="6405" width="5.7109375" customWidth="1"/>
    <col min="6406" max="6406" width="11.7109375" customWidth="1"/>
    <col min="6407" max="6407" width="14.42578125" customWidth="1"/>
    <col min="6657" max="6657" width="12.7109375" customWidth="1"/>
    <col min="6659" max="6659" width="11.5703125" customWidth="1"/>
    <col min="6660" max="6660" width="10.42578125" customWidth="1"/>
    <col min="6661" max="6661" width="5.7109375" customWidth="1"/>
    <col min="6662" max="6662" width="11.7109375" customWidth="1"/>
    <col min="6663" max="6663" width="14.42578125" customWidth="1"/>
    <col min="6913" max="6913" width="12.7109375" customWidth="1"/>
    <col min="6915" max="6915" width="11.5703125" customWidth="1"/>
    <col min="6916" max="6916" width="10.42578125" customWidth="1"/>
    <col min="6917" max="6917" width="5.7109375" customWidth="1"/>
    <col min="6918" max="6918" width="11.7109375" customWidth="1"/>
    <col min="6919" max="6919" width="14.42578125" customWidth="1"/>
    <col min="7169" max="7169" width="12.7109375" customWidth="1"/>
    <col min="7171" max="7171" width="11.5703125" customWidth="1"/>
    <col min="7172" max="7172" width="10.42578125" customWidth="1"/>
    <col min="7173" max="7173" width="5.7109375" customWidth="1"/>
    <col min="7174" max="7174" width="11.7109375" customWidth="1"/>
    <col min="7175" max="7175" width="14.42578125" customWidth="1"/>
    <col min="7425" max="7425" width="12.7109375" customWidth="1"/>
    <col min="7427" max="7427" width="11.5703125" customWidth="1"/>
    <col min="7428" max="7428" width="10.42578125" customWidth="1"/>
    <col min="7429" max="7429" width="5.7109375" customWidth="1"/>
    <col min="7430" max="7430" width="11.7109375" customWidth="1"/>
    <col min="7431" max="7431" width="14.42578125" customWidth="1"/>
    <col min="7681" max="7681" width="12.7109375" customWidth="1"/>
    <col min="7683" max="7683" width="11.5703125" customWidth="1"/>
    <col min="7684" max="7684" width="10.42578125" customWidth="1"/>
    <col min="7685" max="7685" width="5.7109375" customWidth="1"/>
    <col min="7686" max="7686" width="11.7109375" customWidth="1"/>
    <col min="7687" max="7687" width="14.42578125" customWidth="1"/>
    <col min="7937" max="7937" width="12.7109375" customWidth="1"/>
    <col min="7939" max="7939" width="11.5703125" customWidth="1"/>
    <col min="7940" max="7940" width="10.42578125" customWidth="1"/>
    <col min="7941" max="7941" width="5.7109375" customWidth="1"/>
    <col min="7942" max="7942" width="11.7109375" customWidth="1"/>
    <col min="7943" max="7943" width="14.42578125" customWidth="1"/>
    <col min="8193" max="8193" width="12.7109375" customWidth="1"/>
    <col min="8195" max="8195" width="11.5703125" customWidth="1"/>
    <col min="8196" max="8196" width="10.42578125" customWidth="1"/>
    <col min="8197" max="8197" width="5.7109375" customWidth="1"/>
    <col min="8198" max="8198" width="11.7109375" customWidth="1"/>
    <col min="8199" max="8199" width="14.42578125" customWidth="1"/>
    <col min="8449" max="8449" width="12.7109375" customWidth="1"/>
    <col min="8451" max="8451" width="11.5703125" customWidth="1"/>
    <col min="8452" max="8452" width="10.42578125" customWidth="1"/>
    <col min="8453" max="8453" width="5.7109375" customWidth="1"/>
    <col min="8454" max="8454" width="11.7109375" customWidth="1"/>
    <col min="8455" max="8455" width="14.42578125" customWidth="1"/>
    <col min="8705" max="8705" width="12.7109375" customWidth="1"/>
    <col min="8707" max="8707" width="11.5703125" customWidth="1"/>
    <col min="8708" max="8708" width="10.42578125" customWidth="1"/>
    <col min="8709" max="8709" width="5.7109375" customWidth="1"/>
    <col min="8710" max="8710" width="11.7109375" customWidth="1"/>
    <col min="8711" max="8711" width="14.42578125" customWidth="1"/>
    <col min="8961" max="8961" width="12.7109375" customWidth="1"/>
    <col min="8963" max="8963" width="11.5703125" customWidth="1"/>
    <col min="8964" max="8964" width="10.42578125" customWidth="1"/>
    <col min="8965" max="8965" width="5.7109375" customWidth="1"/>
    <col min="8966" max="8966" width="11.7109375" customWidth="1"/>
    <col min="8967" max="8967" width="14.42578125" customWidth="1"/>
    <col min="9217" max="9217" width="12.7109375" customWidth="1"/>
    <col min="9219" max="9219" width="11.5703125" customWidth="1"/>
    <col min="9220" max="9220" width="10.42578125" customWidth="1"/>
    <col min="9221" max="9221" width="5.7109375" customWidth="1"/>
    <col min="9222" max="9222" width="11.7109375" customWidth="1"/>
    <col min="9223" max="9223" width="14.42578125" customWidth="1"/>
    <col min="9473" max="9473" width="12.7109375" customWidth="1"/>
    <col min="9475" max="9475" width="11.5703125" customWidth="1"/>
    <col min="9476" max="9476" width="10.42578125" customWidth="1"/>
    <col min="9477" max="9477" width="5.7109375" customWidth="1"/>
    <col min="9478" max="9478" width="11.7109375" customWidth="1"/>
    <col min="9479" max="9479" width="14.42578125" customWidth="1"/>
    <col min="9729" max="9729" width="12.7109375" customWidth="1"/>
    <col min="9731" max="9731" width="11.5703125" customWidth="1"/>
    <col min="9732" max="9732" width="10.42578125" customWidth="1"/>
    <col min="9733" max="9733" width="5.7109375" customWidth="1"/>
    <col min="9734" max="9734" width="11.7109375" customWidth="1"/>
    <col min="9735" max="9735" width="14.42578125" customWidth="1"/>
    <col min="9985" max="9985" width="12.7109375" customWidth="1"/>
    <col min="9987" max="9987" width="11.5703125" customWidth="1"/>
    <col min="9988" max="9988" width="10.42578125" customWidth="1"/>
    <col min="9989" max="9989" width="5.7109375" customWidth="1"/>
    <col min="9990" max="9990" width="11.7109375" customWidth="1"/>
    <col min="9991" max="9991" width="14.42578125" customWidth="1"/>
    <col min="10241" max="10241" width="12.7109375" customWidth="1"/>
    <col min="10243" max="10243" width="11.5703125" customWidth="1"/>
    <col min="10244" max="10244" width="10.42578125" customWidth="1"/>
    <col min="10245" max="10245" width="5.7109375" customWidth="1"/>
    <col min="10246" max="10246" width="11.7109375" customWidth="1"/>
    <col min="10247" max="10247" width="14.42578125" customWidth="1"/>
    <col min="10497" max="10497" width="12.7109375" customWidth="1"/>
    <col min="10499" max="10499" width="11.5703125" customWidth="1"/>
    <col min="10500" max="10500" width="10.42578125" customWidth="1"/>
    <col min="10501" max="10501" width="5.7109375" customWidth="1"/>
    <col min="10502" max="10502" width="11.7109375" customWidth="1"/>
    <col min="10503" max="10503" width="14.42578125" customWidth="1"/>
    <col min="10753" max="10753" width="12.7109375" customWidth="1"/>
    <col min="10755" max="10755" width="11.5703125" customWidth="1"/>
    <col min="10756" max="10756" width="10.42578125" customWidth="1"/>
    <col min="10757" max="10757" width="5.7109375" customWidth="1"/>
    <col min="10758" max="10758" width="11.7109375" customWidth="1"/>
    <col min="10759" max="10759" width="14.42578125" customWidth="1"/>
    <col min="11009" max="11009" width="12.7109375" customWidth="1"/>
    <col min="11011" max="11011" width="11.5703125" customWidth="1"/>
    <col min="11012" max="11012" width="10.42578125" customWidth="1"/>
    <col min="11013" max="11013" width="5.7109375" customWidth="1"/>
    <col min="11014" max="11014" width="11.7109375" customWidth="1"/>
    <col min="11015" max="11015" width="14.42578125" customWidth="1"/>
    <col min="11265" max="11265" width="12.7109375" customWidth="1"/>
    <col min="11267" max="11267" width="11.5703125" customWidth="1"/>
    <col min="11268" max="11268" width="10.42578125" customWidth="1"/>
    <col min="11269" max="11269" width="5.7109375" customWidth="1"/>
    <col min="11270" max="11270" width="11.7109375" customWidth="1"/>
    <col min="11271" max="11271" width="14.42578125" customWidth="1"/>
    <col min="11521" max="11521" width="12.7109375" customWidth="1"/>
    <col min="11523" max="11523" width="11.5703125" customWidth="1"/>
    <col min="11524" max="11524" width="10.42578125" customWidth="1"/>
    <col min="11525" max="11525" width="5.7109375" customWidth="1"/>
    <col min="11526" max="11526" width="11.7109375" customWidth="1"/>
    <col min="11527" max="11527" width="14.42578125" customWidth="1"/>
    <col min="11777" max="11777" width="12.7109375" customWidth="1"/>
    <col min="11779" max="11779" width="11.5703125" customWidth="1"/>
    <col min="11780" max="11780" width="10.42578125" customWidth="1"/>
    <col min="11781" max="11781" width="5.7109375" customWidth="1"/>
    <col min="11782" max="11782" width="11.7109375" customWidth="1"/>
    <col min="11783" max="11783" width="14.42578125" customWidth="1"/>
    <col min="12033" max="12033" width="12.7109375" customWidth="1"/>
    <col min="12035" max="12035" width="11.5703125" customWidth="1"/>
    <col min="12036" max="12036" width="10.42578125" customWidth="1"/>
    <col min="12037" max="12037" width="5.7109375" customWidth="1"/>
    <col min="12038" max="12038" width="11.7109375" customWidth="1"/>
    <col min="12039" max="12039" width="14.42578125" customWidth="1"/>
    <col min="12289" max="12289" width="12.7109375" customWidth="1"/>
    <col min="12291" max="12291" width="11.5703125" customWidth="1"/>
    <col min="12292" max="12292" width="10.42578125" customWidth="1"/>
    <col min="12293" max="12293" width="5.7109375" customWidth="1"/>
    <col min="12294" max="12294" width="11.7109375" customWidth="1"/>
    <col min="12295" max="12295" width="14.42578125" customWidth="1"/>
    <col min="12545" max="12545" width="12.7109375" customWidth="1"/>
    <col min="12547" max="12547" width="11.5703125" customWidth="1"/>
    <col min="12548" max="12548" width="10.42578125" customWidth="1"/>
    <col min="12549" max="12549" width="5.7109375" customWidth="1"/>
    <col min="12550" max="12550" width="11.7109375" customWidth="1"/>
    <col min="12551" max="12551" width="14.42578125" customWidth="1"/>
    <col min="12801" max="12801" width="12.7109375" customWidth="1"/>
    <col min="12803" max="12803" width="11.5703125" customWidth="1"/>
    <col min="12804" max="12804" width="10.42578125" customWidth="1"/>
    <col min="12805" max="12805" width="5.7109375" customWidth="1"/>
    <col min="12806" max="12806" width="11.7109375" customWidth="1"/>
    <col min="12807" max="12807" width="14.42578125" customWidth="1"/>
    <col min="13057" max="13057" width="12.7109375" customWidth="1"/>
    <col min="13059" max="13059" width="11.5703125" customWidth="1"/>
    <col min="13060" max="13060" width="10.42578125" customWidth="1"/>
    <col min="13061" max="13061" width="5.7109375" customWidth="1"/>
    <col min="13062" max="13062" width="11.7109375" customWidth="1"/>
    <col min="13063" max="13063" width="14.42578125" customWidth="1"/>
    <col min="13313" max="13313" width="12.7109375" customWidth="1"/>
    <col min="13315" max="13315" width="11.5703125" customWidth="1"/>
    <col min="13316" max="13316" width="10.42578125" customWidth="1"/>
    <col min="13317" max="13317" width="5.7109375" customWidth="1"/>
    <col min="13318" max="13318" width="11.7109375" customWidth="1"/>
    <col min="13319" max="13319" width="14.42578125" customWidth="1"/>
    <col min="13569" max="13569" width="12.7109375" customWidth="1"/>
    <col min="13571" max="13571" width="11.5703125" customWidth="1"/>
    <col min="13572" max="13572" width="10.42578125" customWidth="1"/>
    <col min="13573" max="13573" width="5.7109375" customWidth="1"/>
    <col min="13574" max="13574" width="11.7109375" customWidth="1"/>
    <col min="13575" max="13575" width="14.42578125" customWidth="1"/>
    <col min="13825" max="13825" width="12.7109375" customWidth="1"/>
    <col min="13827" max="13827" width="11.5703125" customWidth="1"/>
    <col min="13828" max="13828" width="10.42578125" customWidth="1"/>
    <col min="13829" max="13829" width="5.7109375" customWidth="1"/>
    <col min="13830" max="13830" width="11.7109375" customWidth="1"/>
    <col min="13831" max="13831" width="14.42578125" customWidth="1"/>
    <col min="14081" max="14081" width="12.7109375" customWidth="1"/>
    <col min="14083" max="14083" width="11.5703125" customWidth="1"/>
    <col min="14084" max="14084" width="10.42578125" customWidth="1"/>
    <col min="14085" max="14085" width="5.7109375" customWidth="1"/>
    <col min="14086" max="14086" width="11.7109375" customWidth="1"/>
    <col min="14087" max="14087" width="14.42578125" customWidth="1"/>
    <col min="14337" max="14337" width="12.7109375" customWidth="1"/>
    <col min="14339" max="14339" width="11.5703125" customWidth="1"/>
    <col min="14340" max="14340" width="10.42578125" customWidth="1"/>
    <col min="14341" max="14341" width="5.7109375" customWidth="1"/>
    <col min="14342" max="14342" width="11.7109375" customWidth="1"/>
    <col min="14343" max="14343" width="14.42578125" customWidth="1"/>
    <col min="14593" max="14593" width="12.7109375" customWidth="1"/>
    <col min="14595" max="14595" width="11.5703125" customWidth="1"/>
    <col min="14596" max="14596" width="10.42578125" customWidth="1"/>
    <col min="14597" max="14597" width="5.7109375" customWidth="1"/>
    <col min="14598" max="14598" width="11.7109375" customWidth="1"/>
    <col min="14599" max="14599" width="14.42578125" customWidth="1"/>
    <col min="14849" max="14849" width="12.7109375" customWidth="1"/>
    <col min="14851" max="14851" width="11.5703125" customWidth="1"/>
    <col min="14852" max="14852" width="10.42578125" customWidth="1"/>
    <col min="14853" max="14853" width="5.7109375" customWidth="1"/>
    <col min="14854" max="14854" width="11.7109375" customWidth="1"/>
    <col min="14855" max="14855" width="14.42578125" customWidth="1"/>
    <col min="15105" max="15105" width="12.7109375" customWidth="1"/>
    <col min="15107" max="15107" width="11.5703125" customWidth="1"/>
    <col min="15108" max="15108" width="10.42578125" customWidth="1"/>
    <col min="15109" max="15109" width="5.7109375" customWidth="1"/>
    <col min="15110" max="15110" width="11.7109375" customWidth="1"/>
    <col min="15111" max="15111" width="14.42578125" customWidth="1"/>
    <col min="15361" max="15361" width="12.7109375" customWidth="1"/>
    <col min="15363" max="15363" width="11.5703125" customWidth="1"/>
    <col min="15364" max="15364" width="10.42578125" customWidth="1"/>
    <col min="15365" max="15365" width="5.7109375" customWidth="1"/>
    <col min="15366" max="15366" width="11.7109375" customWidth="1"/>
    <col min="15367" max="15367" width="14.42578125" customWidth="1"/>
    <col min="15617" max="15617" width="12.7109375" customWidth="1"/>
    <col min="15619" max="15619" width="11.5703125" customWidth="1"/>
    <col min="15620" max="15620" width="10.42578125" customWidth="1"/>
    <col min="15621" max="15621" width="5.7109375" customWidth="1"/>
    <col min="15622" max="15622" width="11.7109375" customWidth="1"/>
    <col min="15623" max="15623" width="14.42578125" customWidth="1"/>
    <col min="15873" max="15873" width="12.7109375" customWidth="1"/>
    <col min="15875" max="15875" width="11.5703125" customWidth="1"/>
    <col min="15876" max="15876" width="10.42578125" customWidth="1"/>
    <col min="15877" max="15877" width="5.7109375" customWidth="1"/>
    <col min="15878" max="15878" width="11.7109375" customWidth="1"/>
    <col min="15879" max="15879" width="14.42578125" customWidth="1"/>
    <col min="16129" max="16129" width="12.7109375" customWidth="1"/>
    <col min="16131" max="16131" width="11.5703125" customWidth="1"/>
    <col min="16132" max="16132" width="10.42578125" customWidth="1"/>
    <col min="16133" max="16133" width="5.7109375" customWidth="1"/>
    <col min="16134" max="16134" width="11.7109375" customWidth="1"/>
    <col min="16135" max="16135" width="14.42578125" customWidth="1"/>
  </cols>
  <sheetData>
    <row r="2" spans="1:10" ht="15.75" x14ac:dyDescent="0.25">
      <c r="C2" s="16" t="s">
        <v>125</v>
      </c>
    </row>
    <row r="3" spans="1:10" ht="15.75" x14ac:dyDescent="0.25">
      <c r="A3" s="18"/>
      <c r="B3" s="18"/>
      <c r="C3" s="19" t="s">
        <v>126</v>
      </c>
      <c r="D3" s="19" t="s">
        <v>127</v>
      </c>
      <c r="F3" s="18" t="s">
        <v>128</v>
      </c>
      <c r="G3" s="18" t="s">
        <v>129</v>
      </c>
    </row>
    <row r="4" spans="1:10" ht="15.75" x14ac:dyDescent="0.25">
      <c r="A4" s="18" t="s">
        <v>130</v>
      </c>
      <c r="B4" s="18" t="s">
        <v>112</v>
      </c>
      <c r="C4" s="20">
        <v>114789.48</v>
      </c>
      <c r="D4" s="20">
        <v>-3644.58</v>
      </c>
    </row>
    <row r="5" spans="1:10" ht="15.75" x14ac:dyDescent="0.25">
      <c r="A5" s="18"/>
      <c r="B5" s="18" t="s">
        <v>110</v>
      </c>
      <c r="C5" s="20">
        <v>114569.28</v>
      </c>
      <c r="D5" s="20">
        <v>-3663.18</v>
      </c>
      <c r="F5" s="18" t="s">
        <v>131</v>
      </c>
      <c r="G5" s="18" t="s">
        <v>132</v>
      </c>
    </row>
    <row r="6" spans="1:10" ht="17.25" customHeight="1" x14ac:dyDescent="0.25">
      <c r="C6" s="23">
        <f>C5-C4</f>
        <v>-220.19999999999709</v>
      </c>
      <c r="D6" s="23">
        <f>D5-D4</f>
        <v>-18.599999999999909</v>
      </c>
    </row>
    <row r="7" spans="1:10" ht="15.75" x14ac:dyDescent="0.25">
      <c r="A7" s="18" t="s">
        <v>133</v>
      </c>
      <c r="B7" s="18" t="s">
        <v>112</v>
      </c>
      <c r="C7" s="20">
        <v>114789.48</v>
      </c>
      <c r="D7" s="20">
        <v>-3644.58</v>
      </c>
    </row>
    <row r="8" spans="1:10" ht="15.75" x14ac:dyDescent="0.25">
      <c r="A8" s="18"/>
      <c r="B8" s="18" t="s">
        <v>111</v>
      </c>
      <c r="C8" s="21">
        <v>114702</v>
      </c>
      <c r="D8" s="20">
        <v>-4079.64</v>
      </c>
      <c r="F8" s="18" t="s">
        <v>134</v>
      </c>
      <c r="G8" s="22" t="s">
        <v>135</v>
      </c>
    </row>
    <row r="9" spans="1:10" ht="20.25" customHeight="1" x14ac:dyDescent="0.25">
      <c r="C9" s="23">
        <f>C8-C7</f>
        <v>-87.479999999995925</v>
      </c>
      <c r="D9" s="19">
        <f>D8-D7</f>
        <v>-435.05999999999995</v>
      </c>
    </row>
    <row r="10" spans="1:10" ht="15.75" x14ac:dyDescent="0.25">
      <c r="A10" s="18" t="s">
        <v>136</v>
      </c>
      <c r="B10" s="18" t="s">
        <v>112</v>
      </c>
      <c r="C10" s="20">
        <v>114789.48</v>
      </c>
      <c r="D10" s="20">
        <v>-3644.58</v>
      </c>
    </row>
    <row r="11" spans="1:10" ht="15.75" x14ac:dyDescent="0.25">
      <c r="A11" s="18"/>
      <c r="B11" s="18" t="s">
        <v>109</v>
      </c>
      <c r="C11" s="23">
        <v>114370.35</v>
      </c>
      <c r="D11" s="23">
        <v>-4182.37</v>
      </c>
      <c r="F11" s="18" t="s">
        <v>137</v>
      </c>
      <c r="G11" s="22" t="s">
        <v>138</v>
      </c>
    </row>
    <row r="12" spans="1:10" ht="20.25" customHeight="1" x14ac:dyDescent="0.25">
      <c r="C12" s="23">
        <f>C11-C10</f>
        <v>-419.1299999999901</v>
      </c>
      <c r="D12" s="23">
        <f>D11-D10</f>
        <v>-537.79</v>
      </c>
      <c r="J12" s="18"/>
    </row>
    <row r="13" spans="1:10" ht="15.75" x14ac:dyDescent="0.25">
      <c r="A13" s="18" t="s">
        <v>139</v>
      </c>
      <c r="B13" s="18" t="s">
        <v>112</v>
      </c>
      <c r="C13" s="20">
        <v>114789.48</v>
      </c>
      <c r="D13" s="20">
        <v>-3644.58</v>
      </c>
    </row>
    <row r="14" spans="1:10" ht="15.75" x14ac:dyDescent="0.25">
      <c r="A14" s="18"/>
      <c r="B14" s="18" t="s">
        <v>115</v>
      </c>
      <c r="C14" s="20">
        <v>114218.49</v>
      </c>
      <c r="D14" s="20">
        <v>-3692.81</v>
      </c>
      <c r="F14" s="19">
        <v>573.02300000000002</v>
      </c>
      <c r="G14" s="22" t="s">
        <v>140</v>
      </c>
    </row>
    <row r="15" spans="1:10" ht="18" customHeight="1" x14ac:dyDescent="0.25">
      <c r="C15" s="19">
        <f>C14-C13</f>
        <v>-570.98999999999069</v>
      </c>
      <c r="D15" s="19">
        <f>D14-D13</f>
        <v>-48.230000000000018</v>
      </c>
    </row>
    <row r="16" spans="1:10" ht="15.75" x14ac:dyDescent="0.25">
      <c r="A16" s="18" t="s">
        <v>141</v>
      </c>
      <c r="B16" s="18" t="s">
        <v>110</v>
      </c>
      <c r="C16" s="20">
        <v>114569.28</v>
      </c>
      <c r="D16" s="20">
        <v>-3663.18</v>
      </c>
    </row>
    <row r="17" spans="1:7" ht="15.75" x14ac:dyDescent="0.25">
      <c r="A17" s="18"/>
      <c r="B17" s="18" t="s">
        <v>115</v>
      </c>
      <c r="C17" s="20">
        <v>114218.49</v>
      </c>
      <c r="D17" s="20">
        <v>-3692.81</v>
      </c>
      <c r="F17" s="18" t="s">
        <v>142</v>
      </c>
      <c r="G17" s="18" t="s">
        <v>143</v>
      </c>
    </row>
    <row r="18" spans="1:7" ht="18.75" customHeight="1" x14ac:dyDescent="0.25">
      <c r="C18" s="19">
        <f>C17-C16</f>
        <v>-350.7899999999936</v>
      </c>
      <c r="D18" s="19">
        <f>D17-D16</f>
        <v>-29.630000000000109</v>
      </c>
    </row>
    <row r="19" spans="1:7" ht="15.75" x14ac:dyDescent="0.25">
      <c r="A19" s="18" t="s">
        <v>144</v>
      </c>
      <c r="B19" s="18" t="s">
        <v>110</v>
      </c>
      <c r="C19" s="20">
        <v>114569.28</v>
      </c>
      <c r="D19" s="20">
        <v>-3663.18</v>
      </c>
    </row>
    <row r="20" spans="1:7" ht="15.75" x14ac:dyDescent="0.25">
      <c r="A20" s="18"/>
      <c r="B20" s="18" t="s">
        <v>111</v>
      </c>
      <c r="C20" s="21">
        <v>114702</v>
      </c>
      <c r="D20" s="20">
        <v>-4079.64</v>
      </c>
      <c r="F20" s="18" t="s">
        <v>145</v>
      </c>
      <c r="G20" s="22" t="s">
        <v>146</v>
      </c>
    </row>
    <row r="21" spans="1:7" ht="21.75" customHeight="1" x14ac:dyDescent="0.25">
      <c r="C21" s="23">
        <f>C20-C19</f>
        <v>132.72000000000116</v>
      </c>
      <c r="D21" s="19">
        <f>D20-D19</f>
        <v>-416.46000000000004</v>
      </c>
    </row>
    <row r="22" spans="1:7" ht="15.75" x14ac:dyDescent="0.25">
      <c r="A22" s="18" t="s">
        <v>147</v>
      </c>
      <c r="B22" s="18" t="s">
        <v>110</v>
      </c>
      <c r="C22" s="20">
        <v>114569.28</v>
      </c>
      <c r="D22" s="20">
        <v>-3663.18</v>
      </c>
    </row>
    <row r="23" spans="1:7" ht="15.75" x14ac:dyDescent="0.25">
      <c r="A23" s="18"/>
      <c r="B23" s="18" t="s">
        <v>109</v>
      </c>
      <c r="C23" s="23">
        <v>114370.35</v>
      </c>
      <c r="D23" s="23">
        <v>-4182.37</v>
      </c>
      <c r="F23" s="18" t="s">
        <v>148</v>
      </c>
      <c r="G23" s="22" t="s">
        <v>149</v>
      </c>
    </row>
    <row r="24" spans="1:7" ht="15.75" x14ac:dyDescent="0.25">
      <c r="C24" s="23">
        <f>C23-C22</f>
        <v>-198.92999999999302</v>
      </c>
      <c r="D24" s="23">
        <f>D23-D22</f>
        <v>-519.19000000000005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DF93-4455-4600-8484-ADBA96E943C1}">
  <dimension ref="A1:L39"/>
  <sheetViews>
    <sheetView workbookViewId="0">
      <selection activeCell="C19" sqref="C19"/>
    </sheetView>
  </sheetViews>
  <sheetFormatPr defaultColWidth="9.140625" defaultRowHeight="15.75" x14ac:dyDescent="0.25"/>
  <cols>
    <col min="1" max="1" width="13.85546875" style="19" customWidth="1"/>
    <col min="2" max="2" width="9.42578125" style="18" bestFit="1" customWidth="1"/>
    <col min="3" max="3" width="13.28515625" style="18" customWidth="1"/>
    <col min="4" max="4" width="10.85546875" style="18" customWidth="1"/>
    <col min="5" max="5" width="15" style="18" customWidth="1"/>
    <col min="6" max="6" width="14.28515625" style="18" customWidth="1"/>
    <col min="7" max="7" width="15.28515625" style="18" customWidth="1"/>
    <col min="8" max="10" width="9.140625" style="18"/>
    <col min="11" max="11" width="14.42578125" style="18" customWidth="1"/>
    <col min="12" max="12" width="13" style="18" customWidth="1"/>
    <col min="13" max="256" width="9.140625" style="18"/>
    <col min="257" max="257" width="13.85546875" style="18" customWidth="1"/>
    <col min="258" max="258" width="9.42578125" style="18" bestFit="1" customWidth="1"/>
    <col min="259" max="259" width="13.28515625" style="18" customWidth="1"/>
    <col min="260" max="260" width="10.85546875" style="18" customWidth="1"/>
    <col min="261" max="261" width="15" style="18" customWidth="1"/>
    <col min="262" max="262" width="14.28515625" style="18" customWidth="1"/>
    <col min="263" max="263" width="15.28515625" style="18" customWidth="1"/>
    <col min="264" max="266" width="9.140625" style="18"/>
    <col min="267" max="267" width="14.42578125" style="18" customWidth="1"/>
    <col min="268" max="268" width="13" style="18" customWidth="1"/>
    <col min="269" max="512" width="9.140625" style="18"/>
    <col min="513" max="513" width="13.85546875" style="18" customWidth="1"/>
    <col min="514" max="514" width="9.42578125" style="18" bestFit="1" customWidth="1"/>
    <col min="515" max="515" width="13.28515625" style="18" customWidth="1"/>
    <col min="516" max="516" width="10.85546875" style="18" customWidth="1"/>
    <col min="517" max="517" width="15" style="18" customWidth="1"/>
    <col min="518" max="518" width="14.28515625" style="18" customWidth="1"/>
    <col min="519" max="519" width="15.28515625" style="18" customWidth="1"/>
    <col min="520" max="522" width="9.140625" style="18"/>
    <col min="523" max="523" width="14.42578125" style="18" customWidth="1"/>
    <col min="524" max="524" width="13" style="18" customWidth="1"/>
    <col min="525" max="768" width="9.140625" style="18"/>
    <col min="769" max="769" width="13.85546875" style="18" customWidth="1"/>
    <col min="770" max="770" width="9.42578125" style="18" bestFit="1" customWidth="1"/>
    <col min="771" max="771" width="13.28515625" style="18" customWidth="1"/>
    <col min="772" max="772" width="10.85546875" style="18" customWidth="1"/>
    <col min="773" max="773" width="15" style="18" customWidth="1"/>
    <col min="774" max="774" width="14.28515625" style="18" customWidth="1"/>
    <col min="775" max="775" width="15.28515625" style="18" customWidth="1"/>
    <col min="776" max="778" width="9.140625" style="18"/>
    <col min="779" max="779" width="14.42578125" style="18" customWidth="1"/>
    <col min="780" max="780" width="13" style="18" customWidth="1"/>
    <col min="781" max="1024" width="9.140625" style="18"/>
    <col min="1025" max="1025" width="13.85546875" style="18" customWidth="1"/>
    <col min="1026" max="1026" width="9.42578125" style="18" bestFit="1" customWidth="1"/>
    <col min="1027" max="1027" width="13.28515625" style="18" customWidth="1"/>
    <col min="1028" max="1028" width="10.85546875" style="18" customWidth="1"/>
    <col min="1029" max="1029" width="15" style="18" customWidth="1"/>
    <col min="1030" max="1030" width="14.28515625" style="18" customWidth="1"/>
    <col min="1031" max="1031" width="15.28515625" style="18" customWidth="1"/>
    <col min="1032" max="1034" width="9.140625" style="18"/>
    <col min="1035" max="1035" width="14.42578125" style="18" customWidth="1"/>
    <col min="1036" max="1036" width="13" style="18" customWidth="1"/>
    <col min="1037" max="1280" width="9.140625" style="18"/>
    <col min="1281" max="1281" width="13.85546875" style="18" customWidth="1"/>
    <col min="1282" max="1282" width="9.42578125" style="18" bestFit="1" customWidth="1"/>
    <col min="1283" max="1283" width="13.28515625" style="18" customWidth="1"/>
    <col min="1284" max="1284" width="10.85546875" style="18" customWidth="1"/>
    <col min="1285" max="1285" width="15" style="18" customWidth="1"/>
    <col min="1286" max="1286" width="14.28515625" style="18" customWidth="1"/>
    <col min="1287" max="1287" width="15.28515625" style="18" customWidth="1"/>
    <col min="1288" max="1290" width="9.140625" style="18"/>
    <col min="1291" max="1291" width="14.42578125" style="18" customWidth="1"/>
    <col min="1292" max="1292" width="13" style="18" customWidth="1"/>
    <col min="1293" max="1536" width="9.140625" style="18"/>
    <col min="1537" max="1537" width="13.85546875" style="18" customWidth="1"/>
    <col min="1538" max="1538" width="9.42578125" style="18" bestFit="1" customWidth="1"/>
    <col min="1539" max="1539" width="13.28515625" style="18" customWidth="1"/>
    <col min="1540" max="1540" width="10.85546875" style="18" customWidth="1"/>
    <col min="1541" max="1541" width="15" style="18" customWidth="1"/>
    <col min="1542" max="1542" width="14.28515625" style="18" customWidth="1"/>
    <col min="1543" max="1543" width="15.28515625" style="18" customWidth="1"/>
    <col min="1544" max="1546" width="9.140625" style="18"/>
    <col min="1547" max="1547" width="14.42578125" style="18" customWidth="1"/>
    <col min="1548" max="1548" width="13" style="18" customWidth="1"/>
    <col min="1549" max="1792" width="9.140625" style="18"/>
    <col min="1793" max="1793" width="13.85546875" style="18" customWidth="1"/>
    <col min="1794" max="1794" width="9.42578125" style="18" bestFit="1" customWidth="1"/>
    <col min="1795" max="1795" width="13.28515625" style="18" customWidth="1"/>
    <col min="1796" max="1796" width="10.85546875" style="18" customWidth="1"/>
    <col min="1797" max="1797" width="15" style="18" customWidth="1"/>
    <col min="1798" max="1798" width="14.28515625" style="18" customWidth="1"/>
    <col min="1799" max="1799" width="15.28515625" style="18" customWidth="1"/>
    <col min="1800" max="1802" width="9.140625" style="18"/>
    <col min="1803" max="1803" width="14.42578125" style="18" customWidth="1"/>
    <col min="1804" max="1804" width="13" style="18" customWidth="1"/>
    <col min="1805" max="2048" width="9.140625" style="18"/>
    <col min="2049" max="2049" width="13.85546875" style="18" customWidth="1"/>
    <col min="2050" max="2050" width="9.42578125" style="18" bestFit="1" customWidth="1"/>
    <col min="2051" max="2051" width="13.28515625" style="18" customWidth="1"/>
    <col min="2052" max="2052" width="10.85546875" style="18" customWidth="1"/>
    <col min="2053" max="2053" width="15" style="18" customWidth="1"/>
    <col min="2054" max="2054" width="14.28515625" style="18" customWidth="1"/>
    <col min="2055" max="2055" width="15.28515625" style="18" customWidth="1"/>
    <col min="2056" max="2058" width="9.140625" style="18"/>
    <col min="2059" max="2059" width="14.42578125" style="18" customWidth="1"/>
    <col min="2060" max="2060" width="13" style="18" customWidth="1"/>
    <col min="2061" max="2304" width="9.140625" style="18"/>
    <col min="2305" max="2305" width="13.85546875" style="18" customWidth="1"/>
    <col min="2306" max="2306" width="9.42578125" style="18" bestFit="1" customWidth="1"/>
    <col min="2307" max="2307" width="13.28515625" style="18" customWidth="1"/>
    <col min="2308" max="2308" width="10.85546875" style="18" customWidth="1"/>
    <col min="2309" max="2309" width="15" style="18" customWidth="1"/>
    <col min="2310" max="2310" width="14.28515625" style="18" customWidth="1"/>
    <col min="2311" max="2311" width="15.28515625" style="18" customWidth="1"/>
    <col min="2312" max="2314" width="9.140625" style="18"/>
    <col min="2315" max="2315" width="14.42578125" style="18" customWidth="1"/>
    <col min="2316" max="2316" width="13" style="18" customWidth="1"/>
    <col min="2317" max="2560" width="9.140625" style="18"/>
    <col min="2561" max="2561" width="13.85546875" style="18" customWidth="1"/>
    <col min="2562" max="2562" width="9.42578125" style="18" bestFit="1" customWidth="1"/>
    <col min="2563" max="2563" width="13.28515625" style="18" customWidth="1"/>
    <col min="2564" max="2564" width="10.85546875" style="18" customWidth="1"/>
    <col min="2565" max="2565" width="15" style="18" customWidth="1"/>
    <col min="2566" max="2566" width="14.28515625" style="18" customWidth="1"/>
    <col min="2567" max="2567" width="15.28515625" style="18" customWidth="1"/>
    <col min="2568" max="2570" width="9.140625" style="18"/>
    <col min="2571" max="2571" width="14.42578125" style="18" customWidth="1"/>
    <col min="2572" max="2572" width="13" style="18" customWidth="1"/>
    <col min="2573" max="2816" width="9.140625" style="18"/>
    <col min="2817" max="2817" width="13.85546875" style="18" customWidth="1"/>
    <col min="2818" max="2818" width="9.42578125" style="18" bestFit="1" customWidth="1"/>
    <col min="2819" max="2819" width="13.28515625" style="18" customWidth="1"/>
    <col min="2820" max="2820" width="10.85546875" style="18" customWidth="1"/>
    <col min="2821" max="2821" width="15" style="18" customWidth="1"/>
    <col min="2822" max="2822" width="14.28515625" style="18" customWidth="1"/>
    <col min="2823" max="2823" width="15.28515625" style="18" customWidth="1"/>
    <col min="2824" max="2826" width="9.140625" style="18"/>
    <col min="2827" max="2827" width="14.42578125" style="18" customWidth="1"/>
    <col min="2828" max="2828" width="13" style="18" customWidth="1"/>
    <col min="2829" max="3072" width="9.140625" style="18"/>
    <col min="3073" max="3073" width="13.85546875" style="18" customWidth="1"/>
    <col min="3074" max="3074" width="9.42578125" style="18" bestFit="1" customWidth="1"/>
    <col min="3075" max="3075" width="13.28515625" style="18" customWidth="1"/>
    <col min="3076" max="3076" width="10.85546875" style="18" customWidth="1"/>
    <col min="3077" max="3077" width="15" style="18" customWidth="1"/>
    <col min="3078" max="3078" width="14.28515625" style="18" customWidth="1"/>
    <col min="3079" max="3079" width="15.28515625" style="18" customWidth="1"/>
    <col min="3080" max="3082" width="9.140625" style="18"/>
    <col min="3083" max="3083" width="14.42578125" style="18" customWidth="1"/>
    <col min="3084" max="3084" width="13" style="18" customWidth="1"/>
    <col min="3085" max="3328" width="9.140625" style="18"/>
    <col min="3329" max="3329" width="13.85546875" style="18" customWidth="1"/>
    <col min="3330" max="3330" width="9.42578125" style="18" bestFit="1" customWidth="1"/>
    <col min="3331" max="3331" width="13.28515625" style="18" customWidth="1"/>
    <col min="3332" max="3332" width="10.85546875" style="18" customWidth="1"/>
    <col min="3333" max="3333" width="15" style="18" customWidth="1"/>
    <col min="3334" max="3334" width="14.28515625" style="18" customWidth="1"/>
    <col min="3335" max="3335" width="15.28515625" style="18" customWidth="1"/>
    <col min="3336" max="3338" width="9.140625" style="18"/>
    <col min="3339" max="3339" width="14.42578125" style="18" customWidth="1"/>
    <col min="3340" max="3340" width="13" style="18" customWidth="1"/>
    <col min="3341" max="3584" width="9.140625" style="18"/>
    <col min="3585" max="3585" width="13.85546875" style="18" customWidth="1"/>
    <col min="3586" max="3586" width="9.42578125" style="18" bestFit="1" customWidth="1"/>
    <col min="3587" max="3587" width="13.28515625" style="18" customWidth="1"/>
    <col min="3588" max="3588" width="10.85546875" style="18" customWidth="1"/>
    <col min="3589" max="3589" width="15" style="18" customWidth="1"/>
    <col min="3590" max="3590" width="14.28515625" style="18" customWidth="1"/>
    <col min="3591" max="3591" width="15.28515625" style="18" customWidth="1"/>
    <col min="3592" max="3594" width="9.140625" style="18"/>
    <col min="3595" max="3595" width="14.42578125" style="18" customWidth="1"/>
    <col min="3596" max="3596" width="13" style="18" customWidth="1"/>
    <col min="3597" max="3840" width="9.140625" style="18"/>
    <col min="3841" max="3841" width="13.85546875" style="18" customWidth="1"/>
    <col min="3842" max="3842" width="9.42578125" style="18" bestFit="1" customWidth="1"/>
    <col min="3843" max="3843" width="13.28515625" style="18" customWidth="1"/>
    <col min="3844" max="3844" width="10.85546875" style="18" customWidth="1"/>
    <col min="3845" max="3845" width="15" style="18" customWidth="1"/>
    <col min="3846" max="3846" width="14.28515625" style="18" customWidth="1"/>
    <col min="3847" max="3847" width="15.28515625" style="18" customWidth="1"/>
    <col min="3848" max="3850" width="9.140625" style="18"/>
    <col min="3851" max="3851" width="14.42578125" style="18" customWidth="1"/>
    <col min="3852" max="3852" width="13" style="18" customWidth="1"/>
    <col min="3853" max="4096" width="9.140625" style="18"/>
    <col min="4097" max="4097" width="13.85546875" style="18" customWidth="1"/>
    <col min="4098" max="4098" width="9.42578125" style="18" bestFit="1" customWidth="1"/>
    <col min="4099" max="4099" width="13.28515625" style="18" customWidth="1"/>
    <col min="4100" max="4100" width="10.85546875" style="18" customWidth="1"/>
    <col min="4101" max="4101" width="15" style="18" customWidth="1"/>
    <col min="4102" max="4102" width="14.28515625" style="18" customWidth="1"/>
    <col min="4103" max="4103" width="15.28515625" style="18" customWidth="1"/>
    <col min="4104" max="4106" width="9.140625" style="18"/>
    <col min="4107" max="4107" width="14.42578125" style="18" customWidth="1"/>
    <col min="4108" max="4108" width="13" style="18" customWidth="1"/>
    <col min="4109" max="4352" width="9.140625" style="18"/>
    <col min="4353" max="4353" width="13.85546875" style="18" customWidth="1"/>
    <col min="4354" max="4354" width="9.42578125" style="18" bestFit="1" customWidth="1"/>
    <col min="4355" max="4355" width="13.28515625" style="18" customWidth="1"/>
    <col min="4356" max="4356" width="10.85546875" style="18" customWidth="1"/>
    <col min="4357" max="4357" width="15" style="18" customWidth="1"/>
    <col min="4358" max="4358" width="14.28515625" style="18" customWidth="1"/>
    <col min="4359" max="4359" width="15.28515625" style="18" customWidth="1"/>
    <col min="4360" max="4362" width="9.140625" style="18"/>
    <col min="4363" max="4363" width="14.42578125" style="18" customWidth="1"/>
    <col min="4364" max="4364" width="13" style="18" customWidth="1"/>
    <col min="4365" max="4608" width="9.140625" style="18"/>
    <col min="4609" max="4609" width="13.85546875" style="18" customWidth="1"/>
    <col min="4610" max="4610" width="9.42578125" style="18" bestFit="1" customWidth="1"/>
    <col min="4611" max="4611" width="13.28515625" style="18" customWidth="1"/>
    <col min="4612" max="4612" width="10.85546875" style="18" customWidth="1"/>
    <col min="4613" max="4613" width="15" style="18" customWidth="1"/>
    <col min="4614" max="4614" width="14.28515625" style="18" customWidth="1"/>
    <col min="4615" max="4615" width="15.28515625" style="18" customWidth="1"/>
    <col min="4616" max="4618" width="9.140625" style="18"/>
    <col min="4619" max="4619" width="14.42578125" style="18" customWidth="1"/>
    <col min="4620" max="4620" width="13" style="18" customWidth="1"/>
    <col min="4621" max="4864" width="9.140625" style="18"/>
    <col min="4865" max="4865" width="13.85546875" style="18" customWidth="1"/>
    <col min="4866" max="4866" width="9.42578125" style="18" bestFit="1" customWidth="1"/>
    <col min="4867" max="4867" width="13.28515625" style="18" customWidth="1"/>
    <col min="4868" max="4868" width="10.85546875" style="18" customWidth="1"/>
    <col min="4869" max="4869" width="15" style="18" customWidth="1"/>
    <col min="4870" max="4870" width="14.28515625" style="18" customWidth="1"/>
    <col min="4871" max="4871" width="15.28515625" style="18" customWidth="1"/>
    <col min="4872" max="4874" width="9.140625" style="18"/>
    <col min="4875" max="4875" width="14.42578125" style="18" customWidth="1"/>
    <col min="4876" max="4876" width="13" style="18" customWidth="1"/>
    <col min="4877" max="5120" width="9.140625" style="18"/>
    <col min="5121" max="5121" width="13.85546875" style="18" customWidth="1"/>
    <col min="5122" max="5122" width="9.42578125" style="18" bestFit="1" customWidth="1"/>
    <col min="5123" max="5123" width="13.28515625" style="18" customWidth="1"/>
    <col min="5124" max="5124" width="10.85546875" style="18" customWidth="1"/>
    <col min="5125" max="5125" width="15" style="18" customWidth="1"/>
    <col min="5126" max="5126" width="14.28515625" style="18" customWidth="1"/>
    <col min="5127" max="5127" width="15.28515625" style="18" customWidth="1"/>
    <col min="5128" max="5130" width="9.140625" style="18"/>
    <col min="5131" max="5131" width="14.42578125" style="18" customWidth="1"/>
    <col min="5132" max="5132" width="13" style="18" customWidth="1"/>
    <col min="5133" max="5376" width="9.140625" style="18"/>
    <col min="5377" max="5377" width="13.85546875" style="18" customWidth="1"/>
    <col min="5378" max="5378" width="9.42578125" style="18" bestFit="1" customWidth="1"/>
    <col min="5379" max="5379" width="13.28515625" style="18" customWidth="1"/>
    <col min="5380" max="5380" width="10.85546875" style="18" customWidth="1"/>
    <col min="5381" max="5381" width="15" style="18" customWidth="1"/>
    <col min="5382" max="5382" width="14.28515625" style="18" customWidth="1"/>
    <col min="5383" max="5383" width="15.28515625" style="18" customWidth="1"/>
    <col min="5384" max="5386" width="9.140625" style="18"/>
    <col min="5387" max="5387" width="14.42578125" style="18" customWidth="1"/>
    <col min="5388" max="5388" width="13" style="18" customWidth="1"/>
    <col min="5389" max="5632" width="9.140625" style="18"/>
    <col min="5633" max="5633" width="13.85546875" style="18" customWidth="1"/>
    <col min="5634" max="5634" width="9.42578125" style="18" bestFit="1" customWidth="1"/>
    <col min="5635" max="5635" width="13.28515625" style="18" customWidth="1"/>
    <col min="5636" max="5636" width="10.85546875" style="18" customWidth="1"/>
    <col min="5637" max="5637" width="15" style="18" customWidth="1"/>
    <col min="5638" max="5638" width="14.28515625" style="18" customWidth="1"/>
    <col min="5639" max="5639" width="15.28515625" style="18" customWidth="1"/>
    <col min="5640" max="5642" width="9.140625" style="18"/>
    <col min="5643" max="5643" width="14.42578125" style="18" customWidth="1"/>
    <col min="5644" max="5644" width="13" style="18" customWidth="1"/>
    <col min="5645" max="5888" width="9.140625" style="18"/>
    <col min="5889" max="5889" width="13.85546875" style="18" customWidth="1"/>
    <col min="5890" max="5890" width="9.42578125" style="18" bestFit="1" customWidth="1"/>
    <col min="5891" max="5891" width="13.28515625" style="18" customWidth="1"/>
    <col min="5892" max="5892" width="10.85546875" style="18" customWidth="1"/>
    <col min="5893" max="5893" width="15" style="18" customWidth="1"/>
    <col min="5894" max="5894" width="14.28515625" style="18" customWidth="1"/>
    <col min="5895" max="5895" width="15.28515625" style="18" customWidth="1"/>
    <col min="5896" max="5898" width="9.140625" style="18"/>
    <col min="5899" max="5899" width="14.42578125" style="18" customWidth="1"/>
    <col min="5900" max="5900" width="13" style="18" customWidth="1"/>
    <col min="5901" max="6144" width="9.140625" style="18"/>
    <col min="6145" max="6145" width="13.85546875" style="18" customWidth="1"/>
    <col min="6146" max="6146" width="9.42578125" style="18" bestFit="1" customWidth="1"/>
    <col min="6147" max="6147" width="13.28515625" style="18" customWidth="1"/>
    <col min="6148" max="6148" width="10.85546875" style="18" customWidth="1"/>
    <col min="6149" max="6149" width="15" style="18" customWidth="1"/>
    <col min="6150" max="6150" width="14.28515625" style="18" customWidth="1"/>
    <col min="6151" max="6151" width="15.28515625" style="18" customWidth="1"/>
    <col min="6152" max="6154" width="9.140625" style="18"/>
    <col min="6155" max="6155" width="14.42578125" style="18" customWidth="1"/>
    <col min="6156" max="6156" width="13" style="18" customWidth="1"/>
    <col min="6157" max="6400" width="9.140625" style="18"/>
    <col min="6401" max="6401" width="13.85546875" style="18" customWidth="1"/>
    <col min="6402" max="6402" width="9.42578125" style="18" bestFit="1" customWidth="1"/>
    <col min="6403" max="6403" width="13.28515625" style="18" customWidth="1"/>
    <col min="6404" max="6404" width="10.85546875" style="18" customWidth="1"/>
    <col min="6405" max="6405" width="15" style="18" customWidth="1"/>
    <col min="6406" max="6406" width="14.28515625" style="18" customWidth="1"/>
    <col min="6407" max="6407" width="15.28515625" style="18" customWidth="1"/>
    <col min="6408" max="6410" width="9.140625" style="18"/>
    <col min="6411" max="6411" width="14.42578125" style="18" customWidth="1"/>
    <col min="6412" max="6412" width="13" style="18" customWidth="1"/>
    <col min="6413" max="6656" width="9.140625" style="18"/>
    <col min="6657" max="6657" width="13.85546875" style="18" customWidth="1"/>
    <col min="6658" max="6658" width="9.42578125" style="18" bestFit="1" customWidth="1"/>
    <col min="6659" max="6659" width="13.28515625" style="18" customWidth="1"/>
    <col min="6660" max="6660" width="10.85546875" style="18" customWidth="1"/>
    <col min="6661" max="6661" width="15" style="18" customWidth="1"/>
    <col min="6662" max="6662" width="14.28515625" style="18" customWidth="1"/>
    <col min="6663" max="6663" width="15.28515625" style="18" customWidth="1"/>
    <col min="6664" max="6666" width="9.140625" style="18"/>
    <col min="6667" max="6667" width="14.42578125" style="18" customWidth="1"/>
    <col min="6668" max="6668" width="13" style="18" customWidth="1"/>
    <col min="6669" max="6912" width="9.140625" style="18"/>
    <col min="6913" max="6913" width="13.85546875" style="18" customWidth="1"/>
    <col min="6914" max="6914" width="9.42578125" style="18" bestFit="1" customWidth="1"/>
    <col min="6915" max="6915" width="13.28515625" style="18" customWidth="1"/>
    <col min="6916" max="6916" width="10.85546875" style="18" customWidth="1"/>
    <col min="6917" max="6917" width="15" style="18" customWidth="1"/>
    <col min="6918" max="6918" width="14.28515625" style="18" customWidth="1"/>
    <col min="6919" max="6919" width="15.28515625" style="18" customWidth="1"/>
    <col min="6920" max="6922" width="9.140625" style="18"/>
    <col min="6923" max="6923" width="14.42578125" style="18" customWidth="1"/>
    <col min="6924" max="6924" width="13" style="18" customWidth="1"/>
    <col min="6925" max="7168" width="9.140625" style="18"/>
    <col min="7169" max="7169" width="13.85546875" style="18" customWidth="1"/>
    <col min="7170" max="7170" width="9.42578125" style="18" bestFit="1" customWidth="1"/>
    <col min="7171" max="7171" width="13.28515625" style="18" customWidth="1"/>
    <col min="7172" max="7172" width="10.85546875" style="18" customWidth="1"/>
    <col min="7173" max="7173" width="15" style="18" customWidth="1"/>
    <col min="7174" max="7174" width="14.28515625" style="18" customWidth="1"/>
    <col min="7175" max="7175" width="15.28515625" style="18" customWidth="1"/>
    <col min="7176" max="7178" width="9.140625" style="18"/>
    <col min="7179" max="7179" width="14.42578125" style="18" customWidth="1"/>
    <col min="7180" max="7180" width="13" style="18" customWidth="1"/>
    <col min="7181" max="7424" width="9.140625" style="18"/>
    <col min="7425" max="7425" width="13.85546875" style="18" customWidth="1"/>
    <col min="7426" max="7426" width="9.42578125" style="18" bestFit="1" customWidth="1"/>
    <col min="7427" max="7427" width="13.28515625" style="18" customWidth="1"/>
    <col min="7428" max="7428" width="10.85546875" style="18" customWidth="1"/>
    <col min="7429" max="7429" width="15" style="18" customWidth="1"/>
    <col min="7430" max="7430" width="14.28515625" style="18" customWidth="1"/>
    <col min="7431" max="7431" width="15.28515625" style="18" customWidth="1"/>
    <col min="7432" max="7434" width="9.140625" style="18"/>
    <col min="7435" max="7435" width="14.42578125" style="18" customWidth="1"/>
    <col min="7436" max="7436" width="13" style="18" customWidth="1"/>
    <col min="7437" max="7680" width="9.140625" style="18"/>
    <col min="7681" max="7681" width="13.85546875" style="18" customWidth="1"/>
    <col min="7682" max="7682" width="9.42578125" style="18" bestFit="1" customWidth="1"/>
    <col min="7683" max="7683" width="13.28515625" style="18" customWidth="1"/>
    <col min="7684" max="7684" width="10.85546875" style="18" customWidth="1"/>
    <col min="7685" max="7685" width="15" style="18" customWidth="1"/>
    <col min="7686" max="7686" width="14.28515625" style="18" customWidth="1"/>
    <col min="7687" max="7687" width="15.28515625" style="18" customWidth="1"/>
    <col min="7688" max="7690" width="9.140625" style="18"/>
    <col min="7691" max="7691" width="14.42578125" style="18" customWidth="1"/>
    <col min="7692" max="7692" width="13" style="18" customWidth="1"/>
    <col min="7693" max="7936" width="9.140625" style="18"/>
    <col min="7937" max="7937" width="13.85546875" style="18" customWidth="1"/>
    <col min="7938" max="7938" width="9.42578125" style="18" bestFit="1" customWidth="1"/>
    <col min="7939" max="7939" width="13.28515625" style="18" customWidth="1"/>
    <col min="7940" max="7940" width="10.85546875" style="18" customWidth="1"/>
    <col min="7941" max="7941" width="15" style="18" customWidth="1"/>
    <col min="7942" max="7942" width="14.28515625" style="18" customWidth="1"/>
    <col min="7943" max="7943" width="15.28515625" style="18" customWidth="1"/>
    <col min="7944" max="7946" width="9.140625" style="18"/>
    <col min="7947" max="7947" width="14.42578125" style="18" customWidth="1"/>
    <col min="7948" max="7948" width="13" style="18" customWidth="1"/>
    <col min="7949" max="8192" width="9.140625" style="18"/>
    <col min="8193" max="8193" width="13.85546875" style="18" customWidth="1"/>
    <col min="8194" max="8194" width="9.42578125" style="18" bestFit="1" customWidth="1"/>
    <col min="8195" max="8195" width="13.28515625" style="18" customWidth="1"/>
    <col min="8196" max="8196" width="10.85546875" style="18" customWidth="1"/>
    <col min="8197" max="8197" width="15" style="18" customWidth="1"/>
    <col min="8198" max="8198" width="14.28515625" style="18" customWidth="1"/>
    <col min="8199" max="8199" width="15.28515625" style="18" customWidth="1"/>
    <col min="8200" max="8202" width="9.140625" style="18"/>
    <col min="8203" max="8203" width="14.42578125" style="18" customWidth="1"/>
    <col min="8204" max="8204" width="13" style="18" customWidth="1"/>
    <col min="8205" max="8448" width="9.140625" style="18"/>
    <col min="8449" max="8449" width="13.85546875" style="18" customWidth="1"/>
    <col min="8450" max="8450" width="9.42578125" style="18" bestFit="1" customWidth="1"/>
    <col min="8451" max="8451" width="13.28515625" style="18" customWidth="1"/>
    <col min="8452" max="8452" width="10.85546875" style="18" customWidth="1"/>
    <col min="8453" max="8453" width="15" style="18" customWidth="1"/>
    <col min="8454" max="8454" width="14.28515625" style="18" customWidth="1"/>
    <col min="8455" max="8455" width="15.28515625" style="18" customWidth="1"/>
    <col min="8456" max="8458" width="9.140625" style="18"/>
    <col min="8459" max="8459" width="14.42578125" style="18" customWidth="1"/>
    <col min="8460" max="8460" width="13" style="18" customWidth="1"/>
    <col min="8461" max="8704" width="9.140625" style="18"/>
    <col min="8705" max="8705" width="13.85546875" style="18" customWidth="1"/>
    <col min="8706" max="8706" width="9.42578125" style="18" bestFit="1" customWidth="1"/>
    <col min="8707" max="8707" width="13.28515625" style="18" customWidth="1"/>
    <col min="8708" max="8708" width="10.85546875" style="18" customWidth="1"/>
    <col min="8709" max="8709" width="15" style="18" customWidth="1"/>
    <col min="8710" max="8710" width="14.28515625" style="18" customWidth="1"/>
    <col min="8711" max="8711" width="15.28515625" style="18" customWidth="1"/>
    <col min="8712" max="8714" width="9.140625" style="18"/>
    <col min="8715" max="8715" width="14.42578125" style="18" customWidth="1"/>
    <col min="8716" max="8716" width="13" style="18" customWidth="1"/>
    <col min="8717" max="8960" width="9.140625" style="18"/>
    <col min="8961" max="8961" width="13.85546875" style="18" customWidth="1"/>
    <col min="8962" max="8962" width="9.42578125" style="18" bestFit="1" customWidth="1"/>
    <col min="8963" max="8963" width="13.28515625" style="18" customWidth="1"/>
    <col min="8964" max="8964" width="10.85546875" style="18" customWidth="1"/>
    <col min="8965" max="8965" width="15" style="18" customWidth="1"/>
    <col min="8966" max="8966" width="14.28515625" style="18" customWidth="1"/>
    <col min="8967" max="8967" width="15.28515625" style="18" customWidth="1"/>
    <col min="8968" max="8970" width="9.140625" style="18"/>
    <col min="8971" max="8971" width="14.42578125" style="18" customWidth="1"/>
    <col min="8972" max="8972" width="13" style="18" customWidth="1"/>
    <col min="8973" max="9216" width="9.140625" style="18"/>
    <col min="9217" max="9217" width="13.85546875" style="18" customWidth="1"/>
    <col min="9218" max="9218" width="9.42578125" style="18" bestFit="1" customWidth="1"/>
    <col min="9219" max="9219" width="13.28515625" style="18" customWidth="1"/>
    <col min="9220" max="9220" width="10.85546875" style="18" customWidth="1"/>
    <col min="9221" max="9221" width="15" style="18" customWidth="1"/>
    <col min="9222" max="9222" width="14.28515625" style="18" customWidth="1"/>
    <col min="9223" max="9223" width="15.28515625" style="18" customWidth="1"/>
    <col min="9224" max="9226" width="9.140625" style="18"/>
    <col min="9227" max="9227" width="14.42578125" style="18" customWidth="1"/>
    <col min="9228" max="9228" width="13" style="18" customWidth="1"/>
    <col min="9229" max="9472" width="9.140625" style="18"/>
    <col min="9473" max="9473" width="13.85546875" style="18" customWidth="1"/>
    <col min="9474" max="9474" width="9.42578125" style="18" bestFit="1" customWidth="1"/>
    <col min="9475" max="9475" width="13.28515625" style="18" customWidth="1"/>
    <col min="9476" max="9476" width="10.85546875" style="18" customWidth="1"/>
    <col min="9477" max="9477" width="15" style="18" customWidth="1"/>
    <col min="9478" max="9478" width="14.28515625" style="18" customWidth="1"/>
    <col min="9479" max="9479" width="15.28515625" style="18" customWidth="1"/>
    <col min="9480" max="9482" width="9.140625" style="18"/>
    <col min="9483" max="9483" width="14.42578125" style="18" customWidth="1"/>
    <col min="9484" max="9484" width="13" style="18" customWidth="1"/>
    <col min="9485" max="9728" width="9.140625" style="18"/>
    <col min="9729" max="9729" width="13.85546875" style="18" customWidth="1"/>
    <col min="9730" max="9730" width="9.42578125" style="18" bestFit="1" customWidth="1"/>
    <col min="9731" max="9731" width="13.28515625" style="18" customWidth="1"/>
    <col min="9732" max="9732" width="10.85546875" style="18" customWidth="1"/>
    <col min="9733" max="9733" width="15" style="18" customWidth="1"/>
    <col min="9734" max="9734" width="14.28515625" style="18" customWidth="1"/>
    <col min="9735" max="9735" width="15.28515625" style="18" customWidth="1"/>
    <col min="9736" max="9738" width="9.140625" style="18"/>
    <col min="9739" max="9739" width="14.42578125" style="18" customWidth="1"/>
    <col min="9740" max="9740" width="13" style="18" customWidth="1"/>
    <col min="9741" max="9984" width="9.140625" style="18"/>
    <col min="9985" max="9985" width="13.85546875" style="18" customWidth="1"/>
    <col min="9986" max="9986" width="9.42578125" style="18" bestFit="1" customWidth="1"/>
    <col min="9987" max="9987" width="13.28515625" style="18" customWidth="1"/>
    <col min="9988" max="9988" width="10.85546875" style="18" customWidth="1"/>
    <col min="9989" max="9989" width="15" style="18" customWidth="1"/>
    <col min="9990" max="9990" width="14.28515625" style="18" customWidth="1"/>
    <col min="9991" max="9991" width="15.28515625" style="18" customWidth="1"/>
    <col min="9992" max="9994" width="9.140625" style="18"/>
    <col min="9995" max="9995" width="14.42578125" style="18" customWidth="1"/>
    <col min="9996" max="9996" width="13" style="18" customWidth="1"/>
    <col min="9997" max="10240" width="9.140625" style="18"/>
    <col min="10241" max="10241" width="13.85546875" style="18" customWidth="1"/>
    <col min="10242" max="10242" width="9.42578125" style="18" bestFit="1" customWidth="1"/>
    <col min="10243" max="10243" width="13.28515625" style="18" customWidth="1"/>
    <col min="10244" max="10244" width="10.85546875" style="18" customWidth="1"/>
    <col min="10245" max="10245" width="15" style="18" customWidth="1"/>
    <col min="10246" max="10246" width="14.28515625" style="18" customWidth="1"/>
    <col min="10247" max="10247" width="15.28515625" style="18" customWidth="1"/>
    <col min="10248" max="10250" width="9.140625" style="18"/>
    <col min="10251" max="10251" width="14.42578125" style="18" customWidth="1"/>
    <col min="10252" max="10252" width="13" style="18" customWidth="1"/>
    <col min="10253" max="10496" width="9.140625" style="18"/>
    <col min="10497" max="10497" width="13.85546875" style="18" customWidth="1"/>
    <col min="10498" max="10498" width="9.42578125" style="18" bestFit="1" customWidth="1"/>
    <col min="10499" max="10499" width="13.28515625" style="18" customWidth="1"/>
    <col min="10500" max="10500" width="10.85546875" style="18" customWidth="1"/>
    <col min="10501" max="10501" width="15" style="18" customWidth="1"/>
    <col min="10502" max="10502" width="14.28515625" style="18" customWidth="1"/>
    <col min="10503" max="10503" width="15.28515625" style="18" customWidth="1"/>
    <col min="10504" max="10506" width="9.140625" style="18"/>
    <col min="10507" max="10507" width="14.42578125" style="18" customWidth="1"/>
    <col min="10508" max="10508" width="13" style="18" customWidth="1"/>
    <col min="10509" max="10752" width="9.140625" style="18"/>
    <col min="10753" max="10753" width="13.85546875" style="18" customWidth="1"/>
    <col min="10754" max="10754" width="9.42578125" style="18" bestFit="1" customWidth="1"/>
    <col min="10755" max="10755" width="13.28515625" style="18" customWidth="1"/>
    <col min="10756" max="10756" width="10.85546875" style="18" customWidth="1"/>
    <col min="10757" max="10757" width="15" style="18" customWidth="1"/>
    <col min="10758" max="10758" width="14.28515625" style="18" customWidth="1"/>
    <col min="10759" max="10759" width="15.28515625" style="18" customWidth="1"/>
    <col min="10760" max="10762" width="9.140625" style="18"/>
    <col min="10763" max="10763" width="14.42578125" style="18" customWidth="1"/>
    <col min="10764" max="10764" width="13" style="18" customWidth="1"/>
    <col min="10765" max="11008" width="9.140625" style="18"/>
    <col min="11009" max="11009" width="13.85546875" style="18" customWidth="1"/>
    <col min="11010" max="11010" width="9.42578125" style="18" bestFit="1" customWidth="1"/>
    <col min="11011" max="11011" width="13.28515625" style="18" customWidth="1"/>
    <col min="11012" max="11012" width="10.85546875" style="18" customWidth="1"/>
    <col min="11013" max="11013" width="15" style="18" customWidth="1"/>
    <col min="11014" max="11014" width="14.28515625" style="18" customWidth="1"/>
    <col min="11015" max="11015" width="15.28515625" style="18" customWidth="1"/>
    <col min="11016" max="11018" width="9.140625" style="18"/>
    <col min="11019" max="11019" width="14.42578125" style="18" customWidth="1"/>
    <col min="11020" max="11020" width="13" style="18" customWidth="1"/>
    <col min="11021" max="11264" width="9.140625" style="18"/>
    <col min="11265" max="11265" width="13.85546875" style="18" customWidth="1"/>
    <col min="11266" max="11266" width="9.42578125" style="18" bestFit="1" customWidth="1"/>
    <col min="11267" max="11267" width="13.28515625" style="18" customWidth="1"/>
    <col min="11268" max="11268" width="10.85546875" style="18" customWidth="1"/>
    <col min="11269" max="11269" width="15" style="18" customWidth="1"/>
    <col min="11270" max="11270" width="14.28515625" style="18" customWidth="1"/>
    <col min="11271" max="11271" width="15.28515625" style="18" customWidth="1"/>
    <col min="11272" max="11274" width="9.140625" style="18"/>
    <col min="11275" max="11275" width="14.42578125" style="18" customWidth="1"/>
    <col min="11276" max="11276" width="13" style="18" customWidth="1"/>
    <col min="11277" max="11520" width="9.140625" style="18"/>
    <col min="11521" max="11521" width="13.85546875" style="18" customWidth="1"/>
    <col min="11522" max="11522" width="9.42578125" style="18" bestFit="1" customWidth="1"/>
    <col min="11523" max="11523" width="13.28515625" style="18" customWidth="1"/>
    <col min="11524" max="11524" width="10.85546875" style="18" customWidth="1"/>
    <col min="11525" max="11525" width="15" style="18" customWidth="1"/>
    <col min="11526" max="11526" width="14.28515625" style="18" customWidth="1"/>
    <col min="11527" max="11527" width="15.28515625" style="18" customWidth="1"/>
    <col min="11528" max="11530" width="9.140625" style="18"/>
    <col min="11531" max="11531" width="14.42578125" style="18" customWidth="1"/>
    <col min="11532" max="11532" width="13" style="18" customWidth="1"/>
    <col min="11533" max="11776" width="9.140625" style="18"/>
    <col min="11777" max="11777" width="13.85546875" style="18" customWidth="1"/>
    <col min="11778" max="11778" width="9.42578125" style="18" bestFit="1" customWidth="1"/>
    <col min="11779" max="11779" width="13.28515625" style="18" customWidth="1"/>
    <col min="11780" max="11780" width="10.85546875" style="18" customWidth="1"/>
    <col min="11781" max="11781" width="15" style="18" customWidth="1"/>
    <col min="11782" max="11782" width="14.28515625" style="18" customWidth="1"/>
    <col min="11783" max="11783" width="15.28515625" style="18" customWidth="1"/>
    <col min="11784" max="11786" width="9.140625" style="18"/>
    <col min="11787" max="11787" width="14.42578125" style="18" customWidth="1"/>
    <col min="11788" max="11788" width="13" style="18" customWidth="1"/>
    <col min="11789" max="12032" width="9.140625" style="18"/>
    <col min="12033" max="12033" width="13.85546875" style="18" customWidth="1"/>
    <col min="12034" max="12034" width="9.42578125" style="18" bestFit="1" customWidth="1"/>
    <col min="12035" max="12035" width="13.28515625" style="18" customWidth="1"/>
    <col min="12036" max="12036" width="10.85546875" style="18" customWidth="1"/>
    <col min="12037" max="12037" width="15" style="18" customWidth="1"/>
    <col min="12038" max="12038" width="14.28515625" style="18" customWidth="1"/>
    <col min="12039" max="12039" width="15.28515625" style="18" customWidth="1"/>
    <col min="12040" max="12042" width="9.140625" style="18"/>
    <col min="12043" max="12043" width="14.42578125" style="18" customWidth="1"/>
    <col min="12044" max="12044" width="13" style="18" customWidth="1"/>
    <col min="12045" max="12288" width="9.140625" style="18"/>
    <col min="12289" max="12289" width="13.85546875" style="18" customWidth="1"/>
    <col min="12290" max="12290" width="9.42578125" style="18" bestFit="1" customWidth="1"/>
    <col min="12291" max="12291" width="13.28515625" style="18" customWidth="1"/>
    <col min="12292" max="12292" width="10.85546875" style="18" customWidth="1"/>
    <col min="12293" max="12293" width="15" style="18" customWidth="1"/>
    <col min="12294" max="12294" width="14.28515625" style="18" customWidth="1"/>
    <col min="12295" max="12295" width="15.28515625" style="18" customWidth="1"/>
    <col min="12296" max="12298" width="9.140625" style="18"/>
    <col min="12299" max="12299" width="14.42578125" style="18" customWidth="1"/>
    <col min="12300" max="12300" width="13" style="18" customWidth="1"/>
    <col min="12301" max="12544" width="9.140625" style="18"/>
    <col min="12545" max="12545" width="13.85546875" style="18" customWidth="1"/>
    <col min="12546" max="12546" width="9.42578125" style="18" bestFit="1" customWidth="1"/>
    <col min="12547" max="12547" width="13.28515625" style="18" customWidth="1"/>
    <col min="12548" max="12548" width="10.85546875" style="18" customWidth="1"/>
    <col min="12549" max="12549" width="15" style="18" customWidth="1"/>
    <col min="12550" max="12550" width="14.28515625" style="18" customWidth="1"/>
    <col min="12551" max="12551" width="15.28515625" style="18" customWidth="1"/>
    <col min="12552" max="12554" width="9.140625" style="18"/>
    <col min="12555" max="12555" width="14.42578125" style="18" customWidth="1"/>
    <col min="12556" max="12556" width="13" style="18" customWidth="1"/>
    <col min="12557" max="12800" width="9.140625" style="18"/>
    <col min="12801" max="12801" width="13.85546875" style="18" customWidth="1"/>
    <col min="12802" max="12802" width="9.42578125" style="18" bestFit="1" customWidth="1"/>
    <col min="12803" max="12803" width="13.28515625" style="18" customWidth="1"/>
    <col min="12804" max="12804" width="10.85546875" style="18" customWidth="1"/>
    <col min="12805" max="12805" width="15" style="18" customWidth="1"/>
    <col min="12806" max="12806" width="14.28515625" style="18" customWidth="1"/>
    <col min="12807" max="12807" width="15.28515625" style="18" customWidth="1"/>
    <col min="12808" max="12810" width="9.140625" style="18"/>
    <col min="12811" max="12811" width="14.42578125" style="18" customWidth="1"/>
    <col min="12812" max="12812" width="13" style="18" customWidth="1"/>
    <col min="12813" max="13056" width="9.140625" style="18"/>
    <col min="13057" max="13057" width="13.85546875" style="18" customWidth="1"/>
    <col min="13058" max="13058" width="9.42578125" style="18" bestFit="1" customWidth="1"/>
    <col min="13059" max="13059" width="13.28515625" style="18" customWidth="1"/>
    <col min="13060" max="13060" width="10.85546875" style="18" customWidth="1"/>
    <col min="13061" max="13061" width="15" style="18" customWidth="1"/>
    <col min="13062" max="13062" width="14.28515625" style="18" customWidth="1"/>
    <col min="13063" max="13063" width="15.28515625" style="18" customWidth="1"/>
    <col min="13064" max="13066" width="9.140625" style="18"/>
    <col min="13067" max="13067" width="14.42578125" style="18" customWidth="1"/>
    <col min="13068" max="13068" width="13" style="18" customWidth="1"/>
    <col min="13069" max="13312" width="9.140625" style="18"/>
    <col min="13313" max="13313" width="13.85546875" style="18" customWidth="1"/>
    <col min="13314" max="13314" width="9.42578125" style="18" bestFit="1" customWidth="1"/>
    <col min="13315" max="13315" width="13.28515625" style="18" customWidth="1"/>
    <col min="13316" max="13316" width="10.85546875" style="18" customWidth="1"/>
    <col min="13317" max="13317" width="15" style="18" customWidth="1"/>
    <col min="13318" max="13318" width="14.28515625" style="18" customWidth="1"/>
    <col min="13319" max="13319" width="15.28515625" style="18" customWidth="1"/>
    <col min="13320" max="13322" width="9.140625" style="18"/>
    <col min="13323" max="13323" width="14.42578125" style="18" customWidth="1"/>
    <col min="13324" max="13324" width="13" style="18" customWidth="1"/>
    <col min="13325" max="13568" width="9.140625" style="18"/>
    <col min="13569" max="13569" width="13.85546875" style="18" customWidth="1"/>
    <col min="13570" max="13570" width="9.42578125" style="18" bestFit="1" customWidth="1"/>
    <col min="13571" max="13571" width="13.28515625" style="18" customWidth="1"/>
    <col min="13572" max="13572" width="10.85546875" style="18" customWidth="1"/>
    <col min="13573" max="13573" width="15" style="18" customWidth="1"/>
    <col min="13574" max="13574" width="14.28515625" style="18" customWidth="1"/>
    <col min="13575" max="13575" width="15.28515625" style="18" customWidth="1"/>
    <col min="13576" max="13578" width="9.140625" style="18"/>
    <col min="13579" max="13579" width="14.42578125" style="18" customWidth="1"/>
    <col min="13580" max="13580" width="13" style="18" customWidth="1"/>
    <col min="13581" max="13824" width="9.140625" style="18"/>
    <col min="13825" max="13825" width="13.85546875" style="18" customWidth="1"/>
    <col min="13826" max="13826" width="9.42578125" style="18" bestFit="1" customWidth="1"/>
    <col min="13827" max="13827" width="13.28515625" style="18" customWidth="1"/>
    <col min="13828" max="13828" width="10.85546875" style="18" customWidth="1"/>
    <col min="13829" max="13829" width="15" style="18" customWidth="1"/>
    <col min="13830" max="13830" width="14.28515625" style="18" customWidth="1"/>
    <col min="13831" max="13831" width="15.28515625" style="18" customWidth="1"/>
    <col min="13832" max="13834" width="9.140625" style="18"/>
    <col min="13835" max="13835" width="14.42578125" style="18" customWidth="1"/>
    <col min="13836" max="13836" width="13" style="18" customWidth="1"/>
    <col min="13837" max="14080" width="9.140625" style="18"/>
    <col min="14081" max="14081" width="13.85546875" style="18" customWidth="1"/>
    <col min="14082" max="14082" width="9.42578125" style="18" bestFit="1" customWidth="1"/>
    <col min="14083" max="14083" width="13.28515625" style="18" customWidth="1"/>
    <col min="14084" max="14084" width="10.85546875" style="18" customWidth="1"/>
    <col min="14085" max="14085" width="15" style="18" customWidth="1"/>
    <col min="14086" max="14086" width="14.28515625" style="18" customWidth="1"/>
    <col min="14087" max="14087" width="15.28515625" style="18" customWidth="1"/>
    <col min="14088" max="14090" width="9.140625" style="18"/>
    <col min="14091" max="14091" width="14.42578125" style="18" customWidth="1"/>
    <col min="14092" max="14092" width="13" style="18" customWidth="1"/>
    <col min="14093" max="14336" width="9.140625" style="18"/>
    <col min="14337" max="14337" width="13.85546875" style="18" customWidth="1"/>
    <col min="14338" max="14338" width="9.42578125" style="18" bestFit="1" customWidth="1"/>
    <col min="14339" max="14339" width="13.28515625" style="18" customWidth="1"/>
    <col min="14340" max="14340" width="10.85546875" style="18" customWidth="1"/>
    <col min="14341" max="14341" width="15" style="18" customWidth="1"/>
    <col min="14342" max="14342" width="14.28515625" style="18" customWidth="1"/>
    <col min="14343" max="14343" width="15.28515625" style="18" customWidth="1"/>
    <col min="14344" max="14346" width="9.140625" style="18"/>
    <col min="14347" max="14347" width="14.42578125" style="18" customWidth="1"/>
    <col min="14348" max="14348" width="13" style="18" customWidth="1"/>
    <col min="14349" max="14592" width="9.140625" style="18"/>
    <col min="14593" max="14593" width="13.85546875" style="18" customWidth="1"/>
    <col min="14594" max="14594" width="9.42578125" style="18" bestFit="1" customWidth="1"/>
    <col min="14595" max="14595" width="13.28515625" style="18" customWidth="1"/>
    <col min="14596" max="14596" width="10.85546875" style="18" customWidth="1"/>
    <col min="14597" max="14597" width="15" style="18" customWidth="1"/>
    <col min="14598" max="14598" width="14.28515625" style="18" customWidth="1"/>
    <col min="14599" max="14599" width="15.28515625" style="18" customWidth="1"/>
    <col min="14600" max="14602" width="9.140625" style="18"/>
    <col min="14603" max="14603" width="14.42578125" style="18" customWidth="1"/>
    <col min="14604" max="14604" width="13" style="18" customWidth="1"/>
    <col min="14605" max="14848" width="9.140625" style="18"/>
    <col min="14849" max="14849" width="13.85546875" style="18" customWidth="1"/>
    <col min="14850" max="14850" width="9.42578125" style="18" bestFit="1" customWidth="1"/>
    <col min="14851" max="14851" width="13.28515625" style="18" customWidth="1"/>
    <col min="14852" max="14852" width="10.85546875" style="18" customWidth="1"/>
    <col min="14853" max="14853" width="15" style="18" customWidth="1"/>
    <col min="14854" max="14854" width="14.28515625" style="18" customWidth="1"/>
    <col min="14855" max="14855" width="15.28515625" style="18" customWidth="1"/>
    <col min="14856" max="14858" width="9.140625" style="18"/>
    <col min="14859" max="14859" width="14.42578125" style="18" customWidth="1"/>
    <col min="14860" max="14860" width="13" style="18" customWidth="1"/>
    <col min="14861" max="15104" width="9.140625" style="18"/>
    <col min="15105" max="15105" width="13.85546875" style="18" customWidth="1"/>
    <col min="15106" max="15106" width="9.42578125" style="18" bestFit="1" customWidth="1"/>
    <col min="15107" max="15107" width="13.28515625" style="18" customWidth="1"/>
    <col min="15108" max="15108" width="10.85546875" style="18" customWidth="1"/>
    <col min="15109" max="15109" width="15" style="18" customWidth="1"/>
    <col min="15110" max="15110" width="14.28515625" style="18" customWidth="1"/>
    <col min="15111" max="15111" width="15.28515625" style="18" customWidth="1"/>
    <col min="15112" max="15114" width="9.140625" style="18"/>
    <col min="15115" max="15115" width="14.42578125" style="18" customWidth="1"/>
    <col min="15116" max="15116" width="13" style="18" customWidth="1"/>
    <col min="15117" max="15360" width="9.140625" style="18"/>
    <col min="15361" max="15361" width="13.85546875" style="18" customWidth="1"/>
    <col min="15362" max="15362" width="9.42578125" style="18" bestFit="1" customWidth="1"/>
    <col min="15363" max="15363" width="13.28515625" style="18" customWidth="1"/>
    <col min="15364" max="15364" width="10.85546875" style="18" customWidth="1"/>
    <col min="15365" max="15365" width="15" style="18" customWidth="1"/>
    <col min="15366" max="15366" width="14.28515625" style="18" customWidth="1"/>
    <col min="15367" max="15367" width="15.28515625" style="18" customWidth="1"/>
    <col min="15368" max="15370" width="9.140625" style="18"/>
    <col min="15371" max="15371" width="14.42578125" style="18" customWidth="1"/>
    <col min="15372" max="15372" width="13" style="18" customWidth="1"/>
    <col min="15373" max="15616" width="9.140625" style="18"/>
    <col min="15617" max="15617" width="13.85546875" style="18" customWidth="1"/>
    <col min="15618" max="15618" width="9.42578125" style="18" bestFit="1" customWidth="1"/>
    <col min="15619" max="15619" width="13.28515625" style="18" customWidth="1"/>
    <col min="15620" max="15620" width="10.85546875" style="18" customWidth="1"/>
    <col min="15621" max="15621" width="15" style="18" customWidth="1"/>
    <col min="15622" max="15622" width="14.28515625" style="18" customWidth="1"/>
    <col min="15623" max="15623" width="15.28515625" style="18" customWidth="1"/>
    <col min="15624" max="15626" width="9.140625" style="18"/>
    <col min="15627" max="15627" width="14.42578125" style="18" customWidth="1"/>
    <col min="15628" max="15628" width="13" style="18" customWidth="1"/>
    <col min="15629" max="15872" width="9.140625" style="18"/>
    <col min="15873" max="15873" width="13.85546875" style="18" customWidth="1"/>
    <col min="15874" max="15874" width="9.42578125" style="18" bestFit="1" customWidth="1"/>
    <col min="15875" max="15875" width="13.28515625" style="18" customWidth="1"/>
    <col min="15876" max="15876" width="10.85546875" style="18" customWidth="1"/>
    <col min="15877" max="15877" width="15" style="18" customWidth="1"/>
    <col min="15878" max="15878" width="14.28515625" style="18" customWidth="1"/>
    <col min="15879" max="15879" width="15.28515625" style="18" customWidth="1"/>
    <col min="15880" max="15882" width="9.140625" style="18"/>
    <col min="15883" max="15883" width="14.42578125" style="18" customWidth="1"/>
    <col min="15884" max="15884" width="13" style="18" customWidth="1"/>
    <col min="15885" max="16128" width="9.140625" style="18"/>
    <col min="16129" max="16129" width="13.85546875" style="18" customWidth="1"/>
    <col min="16130" max="16130" width="9.42578125" style="18" bestFit="1" customWidth="1"/>
    <col min="16131" max="16131" width="13.28515625" style="18" customWidth="1"/>
    <col min="16132" max="16132" width="10.85546875" style="18" customWidth="1"/>
    <col min="16133" max="16133" width="15" style="18" customWidth="1"/>
    <col min="16134" max="16134" width="14.28515625" style="18" customWidth="1"/>
    <col min="16135" max="16135" width="15.28515625" style="18" customWidth="1"/>
    <col min="16136" max="16138" width="9.140625" style="18"/>
    <col min="16139" max="16139" width="14.42578125" style="18" customWidth="1"/>
    <col min="16140" max="16140" width="13" style="18" customWidth="1"/>
    <col min="16141" max="16384" width="9.140625" style="18"/>
  </cols>
  <sheetData>
    <row r="1" spans="1:11" x14ac:dyDescent="0.25">
      <c r="A1" s="18"/>
      <c r="C1" s="19"/>
      <c r="D1" s="19"/>
    </row>
    <row r="2" spans="1:11" x14ac:dyDescent="0.25">
      <c r="A2" s="18"/>
      <c r="C2" s="19"/>
      <c r="D2" s="24" t="s">
        <v>150</v>
      </c>
    </row>
    <row r="3" spans="1:11" x14ac:dyDescent="0.25">
      <c r="A3" s="18" t="s">
        <v>151</v>
      </c>
      <c r="C3" s="19" t="s">
        <v>126</v>
      </c>
      <c r="D3" s="19" t="s">
        <v>127</v>
      </c>
      <c r="F3" s="18" t="s">
        <v>128</v>
      </c>
      <c r="G3" s="18" t="s">
        <v>129</v>
      </c>
    </row>
    <row r="4" spans="1:11" x14ac:dyDescent="0.25">
      <c r="A4" s="18" t="s">
        <v>152</v>
      </c>
      <c r="B4" s="18" t="s">
        <v>111</v>
      </c>
      <c r="C4" s="21">
        <v>114702</v>
      </c>
      <c r="D4" s="20">
        <v>-4079.64</v>
      </c>
    </row>
    <row r="5" spans="1:11" x14ac:dyDescent="0.25">
      <c r="A5" s="18"/>
      <c r="B5" s="18" t="s">
        <v>110</v>
      </c>
      <c r="C5" s="20">
        <v>114569.28</v>
      </c>
      <c r="D5" s="20">
        <v>-3663.18</v>
      </c>
      <c r="F5" s="25" t="s">
        <v>153</v>
      </c>
      <c r="G5" s="18" t="s">
        <v>154</v>
      </c>
    </row>
    <row r="6" spans="1:11" x14ac:dyDescent="0.25">
      <c r="A6" s="18"/>
      <c r="C6" s="23">
        <f>C5-C4</f>
        <v>-132.72000000000116</v>
      </c>
      <c r="D6" s="19">
        <f>D5-D4</f>
        <v>416.46000000000004</v>
      </c>
      <c r="E6" s="18" t="s">
        <v>155</v>
      </c>
      <c r="F6" s="25" t="s">
        <v>153</v>
      </c>
      <c r="G6" s="18" t="s">
        <v>154</v>
      </c>
      <c r="K6" s="26"/>
    </row>
    <row r="7" spans="1:11" x14ac:dyDescent="0.25">
      <c r="A7" s="18" t="s">
        <v>141</v>
      </c>
      <c r="C7" s="19"/>
      <c r="D7" s="19"/>
    </row>
    <row r="8" spans="1:11" x14ac:dyDescent="0.25">
      <c r="A8" s="18"/>
      <c r="B8" s="18" t="s">
        <v>110</v>
      </c>
      <c r="C8" s="20">
        <v>114569.28</v>
      </c>
      <c r="D8" s="20">
        <v>-3663.18</v>
      </c>
    </row>
    <row r="9" spans="1:11" x14ac:dyDescent="0.25">
      <c r="A9" s="18"/>
      <c r="B9" s="18" t="s">
        <v>115</v>
      </c>
      <c r="C9" s="20">
        <v>114218.49</v>
      </c>
      <c r="D9" s="20">
        <v>-3692.81</v>
      </c>
      <c r="F9" s="25" t="s">
        <v>156</v>
      </c>
      <c r="G9" s="18" t="s">
        <v>157</v>
      </c>
    </row>
    <row r="10" spans="1:11" x14ac:dyDescent="0.25">
      <c r="A10" s="18"/>
      <c r="C10" s="23">
        <f>C9-C8</f>
        <v>-350.7899999999936</v>
      </c>
      <c r="D10" s="23">
        <f>D9-D8</f>
        <v>-29.630000000000109</v>
      </c>
      <c r="E10" s="18" t="s">
        <v>155</v>
      </c>
      <c r="F10" s="25" t="s">
        <v>158</v>
      </c>
      <c r="G10" s="18" t="s">
        <v>159</v>
      </c>
    </row>
    <row r="11" spans="1:11" x14ac:dyDescent="0.25">
      <c r="A11" s="18" t="s">
        <v>160</v>
      </c>
      <c r="C11" s="19"/>
      <c r="D11" s="19"/>
    </row>
    <row r="12" spans="1:11" x14ac:dyDescent="0.25">
      <c r="A12" s="18"/>
      <c r="B12" s="18" t="s">
        <v>115</v>
      </c>
      <c r="C12" s="20">
        <v>114218.49</v>
      </c>
      <c r="D12" s="20">
        <v>-3692.81</v>
      </c>
    </row>
    <row r="13" spans="1:11" x14ac:dyDescent="0.25">
      <c r="A13" s="18"/>
      <c r="B13" s="18" t="s">
        <v>109</v>
      </c>
      <c r="C13" s="23">
        <v>114370.35</v>
      </c>
      <c r="D13" s="23">
        <v>-4182.37</v>
      </c>
      <c r="F13" s="25" t="s">
        <v>161</v>
      </c>
      <c r="G13" s="18" t="s">
        <v>162</v>
      </c>
    </row>
    <row r="14" spans="1:11" x14ac:dyDescent="0.25">
      <c r="A14" s="18"/>
      <c r="C14" s="23">
        <f>C13-C12</f>
        <v>151.86000000000058</v>
      </c>
      <c r="D14" s="23">
        <f>D13-D12</f>
        <v>-489.55999999999995</v>
      </c>
      <c r="E14" s="18" t="s">
        <v>155</v>
      </c>
      <c r="F14" s="25" t="s">
        <v>161</v>
      </c>
      <c r="G14" s="18" t="s">
        <v>163</v>
      </c>
    </row>
    <row r="15" spans="1:11" x14ac:dyDescent="0.25">
      <c r="A15" s="18" t="s">
        <v>164</v>
      </c>
      <c r="C15" s="19"/>
      <c r="D15" s="19"/>
    </row>
    <row r="16" spans="1:11" x14ac:dyDescent="0.25">
      <c r="A16" s="18"/>
      <c r="B16" s="18" t="s">
        <v>109</v>
      </c>
      <c r="C16" s="23">
        <v>114370.35</v>
      </c>
      <c r="D16" s="23">
        <v>-4182.37</v>
      </c>
      <c r="K16" s="26"/>
    </row>
    <row r="17" spans="1:12" x14ac:dyDescent="0.25">
      <c r="A17" s="18"/>
      <c r="B17" s="18" t="s">
        <v>111</v>
      </c>
      <c r="C17" s="21">
        <v>114702</v>
      </c>
      <c r="D17" s="20">
        <v>-4079.64</v>
      </c>
      <c r="F17" s="25" t="s">
        <v>165</v>
      </c>
      <c r="G17" s="18" t="s">
        <v>166</v>
      </c>
    </row>
    <row r="18" spans="1:12" x14ac:dyDescent="0.25">
      <c r="A18" s="18"/>
      <c r="C18" s="23">
        <f>C17-C16</f>
        <v>331.64999999999418</v>
      </c>
      <c r="D18" s="23">
        <f>D17-D16</f>
        <v>102.73000000000002</v>
      </c>
      <c r="E18" s="18" t="s">
        <v>155</v>
      </c>
      <c r="F18" s="25" t="s">
        <v>165</v>
      </c>
      <c r="G18" s="18" t="s">
        <v>167</v>
      </c>
    </row>
    <row r="19" spans="1:12" x14ac:dyDescent="0.25">
      <c r="A19" s="18"/>
      <c r="C19" s="19"/>
      <c r="D19" s="19"/>
    </row>
    <row r="20" spans="1:12" x14ac:dyDescent="0.25">
      <c r="A20" s="18"/>
      <c r="C20" s="19"/>
      <c r="D20" s="19"/>
      <c r="K20" s="27"/>
      <c r="L20" s="27"/>
    </row>
    <row r="21" spans="1:12" x14ac:dyDescent="0.25">
      <c r="A21" s="18"/>
      <c r="C21" s="19"/>
      <c r="D21" s="23"/>
    </row>
    <row r="23" spans="1:12" x14ac:dyDescent="0.25">
      <c r="A23" s="19" t="s">
        <v>152</v>
      </c>
      <c r="D23" s="18" t="s">
        <v>111</v>
      </c>
      <c r="E23" s="28">
        <v>114702</v>
      </c>
      <c r="F23" s="29">
        <v>-4079.64</v>
      </c>
      <c r="G23" s="30" t="s">
        <v>113</v>
      </c>
    </row>
    <row r="24" spans="1:12" x14ac:dyDescent="0.25">
      <c r="A24" s="18" t="s">
        <v>168</v>
      </c>
      <c r="B24" s="27">
        <v>-132.72</v>
      </c>
      <c r="C24" s="27">
        <v>416.46</v>
      </c>
      <c r="E24" s="19"/>
      <c r="F24" s="19"/>
    </row>
    <row r="25" spans="1:12" x14ac:dyDescent="0.25">
      <c r="A25" s="31">
        <v>437.1</v>
      </c>
      <c r="D25" s="18" t="s">
        <v>110</v>
      </c>
      <c r="E25" s="23">
        <f>E23+B24</f>
        <v>114569.28</v>
      </c>
      <c r="F25" s="23">
        <f>F23+C24</f>
        <v>-3663.18</v>
      </c>
    </row>
    <row r="26" spans="1:12" x14ac:dyDescent="0.25">
      <c r="E26" s="19"/>
      <c r="F26" s="19"/>
    </row>
    <row r="27" spans="1:12" x14ac:dyDescent="0.25">
      <c r="A27" s="19" t="s">
        <v>169</v>
      </c>
      <c r="D27" s="18" t="s">
        <v>110</v>
      </c>
      <c r="E27" s="23">
        <f>E25</f>
        <v>114569.28</v>
      </c>
      <c r="F27" s="23">
        <f>F25</f>
        <v>-3663.18</v>
      </c>
      <c r="G27" s="30"/>
      <c r="K27" s="26"/>
    </row>
    <row r="28" spans="1:12" x14ac:dyDescent="0.25">
      <c r="A28" s="18" t="s">
        <v>159</v>
      </c>
      <c r="B28" s="18">
        <v>-350.79</v>
      </c>
      <c r="C28" s="18">
        <v>-29.63</v>
      </c>
      <c r="E28" s="19"/>
      <c r="F28" s="19"/>
    </row>
    <row r="29" spans="1:12" x14ac:dyDescent="0.25">
      <c r="A29" s="19">
        <v>352.05</v>
      </c>
      <c r="D29" s="18" t="s">
        <v>115</v>
      </c>
      <c r="E29" s="23">
        <f>E27+B28</f>
        <v>114218.49</v>
      </c>
      <c r="F29" s="23">
        <f>F27+C28</f>
        <v>-3692.81</v>
      </c>
    </row>
    <row r="30" spans="1:12" x14ac:dyDescent="0.25">
      <c r="E30" s="19"/>
      <c r="F30" s="19"/>
    </row>
    <row r="31" spans="1:12" x14ac:dyDescent="0.25">
      <c r="A31" s="19" t="s">
        <v>170</v>
      </c>
      <c r="D31" s="18" t="s">
        <v>115</v>
      </c>
      <c r="E31" s="23">
        <f>E29</f>
        <v>114218.49</v>
      </c>
      <c r="F31" s="23">
        <f>F29</f>
        <v>-3692.81</v>
      </c>
      <c r="G31" s="30"/>
      <c r="K31" s="27"/>
      <c r="L31" s="27"/>
    </row>
    <row r="32" spans="1:12" x14ac:dyDescent="0.25">
      <c r="A32" s="18" t="s">
        <v>171</v>
      </c>
      <c r="B32" s="18">
        <v>151.86000000000001</v>
      </c>
      <c r="C32" s="18">
        <v>-489.56</v>
      </c>
      <c r="E32" s="19"/>
      <c r="F32" s="19"/>
    </row>
    <row r="33" spans="1:7" x14ac:dyDescent="0.25">
      <c r="A33" s="19">
        <v>512.57000000000005</v>
      </c>
      <c r="D33" s="18" t="s">
        <v>109</v>
      </c>
      <c r="E33" s="23">
        <f>E31+B32</f>
        <v>114370.35</v>
      </c>
      <c r="F33" s="23">
        <f>F31+C32</f>
        <v>-4182.37</v>
      </c>
    </row>
    <row r="34" spans="1:7" x14ac:dyDescent="0.25">
      <c r="E34" s="19"/>
      <c r="F34" s="19"/>
    </row>
    <row r="35" spans="1:7" x14ac:dyDescent="0.25">
      <c r="A35" s="19" t="s">
        <v>172</v>
      </c>
      <c r="D35" s="18" t="s">
        <v>109</v>
      </c>
      <c r="E35" s="23">
        <f>E33</f>
        <v>114370.35</v>
      </c>
      <c r="F35" s="23">
        <f>F33</f>
        <v>-4182.37</v>
      </c>
    </row>
    <row r="36" spans="1:7" x14ac:dyDescent="0.25">
      <c r="A36" s="18" t="s">
        <v>173</v>
      </c>
      <c r="B36" s="18">
        <v>331.66</v>
      </c>
      <c r="C36" s="18">
        <v>102.73</v>
      </c>
      <c r="E36" s="19"/>
      <c r="F36" s="19"/>
    </row>
    <row r="37" spans="1:7" x14ac:dyDescent="0.25">
      <c r="A37" s="23">
        <v>347.2</v>
      </c>
      <c r="D37" s="18" t="s">
        <v>111</v>
      </c>
      <c r="E37" s="23">
        <f>E35+B36</f>
        <v>114702.01000000001</v>
      </c>
      <c r="F37" s="23">
        <f>F35+C36</f>
        <v>-4079.64</v>
      </c>
    </row>
    <row r="38" spans="1:7" x14ac:dyDescent="0.25">
      <c r="E38" s="23">
        <f>E39-E37</f>
        <v>-1.0000000009313226E-2</v>
      </c>
      <c r="F38" s="23">
        <f>F39-F37</f>
        <v>0</v>
      </c>
    </row>
    <row r="39" spans="1:7" x14ac:dyDescent="0.25">
      <c r="D39" s="30" t="s">
        <v>174</v>
      </c>
      <c r="E39" s="32">
        <v>114702</v>
      </c>
      <c r="F39" s="32">
        <v>-4079.64</v>
      </c>
      <c r="G39" s="30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DC93-7D8E-47CF-BB48-11454E8FD5F2}">
  <dimension ref="A2:H634"/>
  <sheetViews>
    <sheetView topLeftCell="A70" zoomScaleNormal="100" workbookViewId="0">
      <selection activeCell="F128" sqref="F128"/>
    </sheetView>
  </sheetViews>
  <sheetFormatPr defaultRowHeight="15.75" x14ac:dyDescent="0.25"/>
  <cols>
    <col min="1" max="1" width="14.42578125" style="18" bestFit="1" customWidth="1"/>
    <col min="2" max="2" width="11.5703125" style="18" bestFit="1" customWidth="1"/>
    <col min="3" max="4" width="9.140625" style="18"/>
    <col min="5" max="5" width="11.5703125" style="18" bestFit="1" customWidth="1"/>
    <col min="6" max="6" width="10" style="18" bestFit="1" customWidth="1"/>
    <col min="7" max="16384" width="9.140625" style="18"/>
  </cols>
  <sheetData>
    <row r="2" spans="1:8" x14ac:dyDescent="0.25">
      <c r="D2" s="42" t="s">
        <v>193</v>
      </c>
    </row>
    <row r="3" spans="1:8" x14ac:dyDescent="0.25">
      <c r="A3" s="48" t="s">
        <v>325</v>
      </c>
      <c r="D3" s="36" t="s">
        <v>111</v>
      </c>
      <c r="E3" s="32">
        <v>114702</v>
      </c>
      <c r="F3" s="36">
        <v>-4079.64</v>
      </c>
      <c r="G3" s="30" t="s">
        <v>113</v>
      </c>
    </row>
    <row r="4" spans="1:8" x14ac:dyDescent="0.25">
      <c r="A4" s="45" t="s">
        <v>212</v>
      </c>
      <c r="B4" s="27">
        <f>E5-E3</f>
        <v>-248.59299999999348</v>
      </c>
      <c r="C4" s="27">
        <f>F5-F3</f>
        <v>-77.003000000000156</v>
      </c>
    </row>
    <row r="5" spans="1:8" x14ac:dyDescent="0.25">
      <c r="A5" s="39">
        <v>260.24599999999998</v>
      </c>
      <c r="D5" s="38" t="s">
        <v>98</v>
      </c>
      <c r="E5" s="44">
        <v>114453.40700000001</v>
      </c>
      <c r="F5" s="44">
        <v>-4156.643</v>
      </c>
    </row>
    <row r="6" spans="1:8" x14ac:dyDescent="0.25">
      <c r="A6" s="48"/>
    </row>
    <row r="7" spans="1:8" x14ac:dyDescent="0.25">
      <c r="A7" s="48" t="s">
        <v>209</v>
      </c>
      <c r="D7" s="38" t="s">
        <v>98</v>
      </c>
      <c r="E7" s="44">
        <v>114453.40700000001</v>
      </c>
      <c r="F7" s="44">
        <v>-4156.643</v>
      </c>
      <c r="G7" s="38"/>
      <c r="H7" s="38"/>
    </row>
    <row r="8" spans="1:8" x14ac:dyDescent="0.25">
      <c r="A8" s="45" t="s">
        <v>210</v>
      </c>
      <c r="B8" s="27">
        <f>E9-E7</f>
        <v>-3.3790000000008149</v>
      </c>
      <c r="C8" s="27">
        <f>F9-F7</f>
        <v>10.605000000000473</v>
      </c>
    </row>
    <row r="9" spans="1:8" x14ac:dyDescent="0.25">
      <c r="A9" s="39">
        <v>11.13</v>
      </c>
      <c r="D9" s="38" t="s">
        <v>99</v>
      </c>
      <c r="E9" s="44">
        <v>114450.02800000001</v>
      </c>
      <c r="F9" s="44">
        <v>-4146.0379999999996</v>
      </c>
    </row>
    <row r="11" spans="1:8" x14ac:dyDescent="0.25">
      <c r="A11" s="48" t="s">
        <v>211</v>
      </c>
      <c r="D11" s="38" t="s">
        <v>99</v>
      </c>
      <c r="E11" s="44">
        <v>114450.02800000001</v>
      </c>
      <c r="F11" s="44">
        <v>-4146.0379999999996</v>
      </c>
    </row>
    <row r="12" spans="1:8" x14ac:dyDescent="0.25">
      <c r="A12" s="45" t="s">
        <v>212</v>
      </c>
      <c r="B12" s="27">
        <f>E13-E11</f>
        <v>8.5969999999942956</v>
      </c>
      <c r="C12" s="27">
        <f>F13-F11</f>
        <v>2.6629999999995562</v>
      </c>
    </row>
    <row r="13" spans="1:8" x14ac:dyDescent="0.25">
      <c r="A13" s="39">
        <v>9</v>
      </c>
      <c r="D13" s="38" t="s">
        <v>100</v>
      </c>
      <c r="E13" s="44">
        <v>114458.625</v>
      </c>
      <c r="F13" s="44">
        <v>-4143.375</v>
      </c>
    </row>
    <row r="15" spans="1:8" x14ac:dyDescent="0.25">
      <c r="A15" s="48" t="s">
        <v>283</v>
      </c>
      <c r="D15" s="38" t="s">
        <v>100</v>
      </c>
      <c r="E15" s="44">
        <v>114458.625</v>
      </c>
      <c r="F15" s="44">
        <v>-4143.375</v>
      </c>
    </row>
    <row r="16" spans="1:8" x14ac:dyDescent="0.25">
      <c r="A16" s="45" t="s">
        <v>210</v>
      </c>
      <c r="B16" s="27">
        <f>E17-E15</f>
        <v>-1.0149999999994179</v>
      </c>
      <c r="C16" s="27">
        <f>F17-F15</f>
        <v>3.1859999999996944</v>
      </c>
    </row>
    <row r="17" spans="1:6" x14ac:dyDescent="0.25">
      <c r="A17" s="18">
        <v>3.34</v>
      </c>
      <c r="D17" s="35" t="s">
        <v>1</v>
      </c>
      <c r="E17" s="39">
        <v>114457.61</v>
      </c>
      <c r="F17" s="39">
        <v>-4140.1890000000003</v>
      </c>
    </row>
    <row r="19" spans="1:6" x14ac:dyDescent="0.25">
      <c r="A19" s="48" t="s">
        <v>284</v>
      </c>
      <c r="D19" s="35" t="s">
        <v>1</v>
      </c>
      <c r="E19" s="39">
        <v>114457.61</v>
      </c>
      <c r="F19" s="39">
        <v>-4140.1890000000003</v>
      </c>
    </row>
    <row r="20" spans="1:6" x14ac:dyDescent="0.25">
      <c r="A20" s="45" t="s">
        <v>210</v>
      </c>
      <c r="B20" s="27">
        <f>E21-E19</f>
        <v>-1.7179999999934807</v>
      </c>
      <c r="C20" s="27">
        <f>F21-F19</f>
        <v>5.3900000000003274</v>
      </c>
    </row>
    <row r="21" spans="1:6" x14ac:dyDescent="0.25">
      <c r="A21" s="39">
        <v>5.6559999999999997</v>
      </c>
      <c r="D21" s="38" t="s">
        <v>101</v>
      </c>
      <c r="E21" s="44">
        <v>114455.89200000001</v>
      </c>
      <c r="F21" s="44">
        <v>-4134.799</v>
      </c>
    </row>
    <row r="23" spans="1:6" x14ac:dyDescent="0.25">
      <c r="A23" s="48" t="s">
        <v>285</v>
      </c>
      <c r="D23" s="38" t="s">
        <v>101</v>
      </c>
      <c r="E23" s="44">
        <v>114455.89200000001</v>
      </c>
      <c r="F23" s="44">
        <v>-4134.799</v>
      </c>
    </row>
    <row r="24" spans="1:6" x14ac:dyDescent="0.25">
      <c r="A24" s="45" t="s">
        <v>286</v>
      </c>
      <c r="B24" s="27">
        <f>E25-E23</f>
        <v>-5.6650000000081491</v>
      </c>
      <c r="C24" s="27">
        <f>F25-F23</f>
        <v>2.956000000000131</v>
      </c>
    </row>
    <row r="25" spans="1:6" x14ac:dyDescent="0.25">
      <c r="A25" s="18">
        <v>5.66</v>
      </c>
      <c r="D25" s="38" t="s">
        <v>102</v>
      </c>
      <c r="E25" s="44">
        <v>114450.227</v>
      </c>
      <c r="F25" s="44">
        <v>-4131.8429999999998</v>
      </c>
    </row>
    <row r="27" spans="1:6" x14ac:dyDescent="0.25">
      <c r="A27" s="48" t="s">
        <v>287</v>
      </c>
      <c r="D27" s="38" t="s">
        <v>102</v>
      </c>
      <c r="E27" s="44">
        <v>114450.227</v>
      </c>
      <c r="F27" s="44">
        <v>-4131.8429999999998</v>
      </c>
    </row>
    <row r="28" spans="1:6" x14ac:dyDescent="0.25">
      <c r="A28" s="45" t="s">
        <v>210</v>
      </c>
      <c r="B28" s="27">
        <f>E29-E27</f>
        <v>-1.9750000000058208</v>
      </c>
      <c r="C28" s="27">
        <f>F29-F27</f>
        <v>6.1970000000001164</v>
      </c>
    </row>
    <row r="29" spans="1:6" x14ac:dyDescent="0.25">
      <c r="A29" s="18">
        <v>6.5</v>
      </c>
      <c r="D29" s="35" t="s">
        <v>2</v>
      </c>
      <c r="E29" s="39">
        <v>114448.25199999999</v>
      </c>
      <c r="F29" s="39">
        <v>-4125.6459999999997</v>
      </c>
    </row>
    <row r="30" spans="1:6" x14ac:dyDescent="0.25">
      <c r="D30" s="35"/>
      <c r="E30" s="39"/>
      <c r="F30" s="39"/>
    </row>
    <row r="31" spans="1:6" x14ac:dyDescent="0.25">
      <c r="A31" s="48" t="s">
        <v>288</v>
      </c>
      <c r="D31" s="35" t="s">
        <v>2</v>
      </c>
      <c r="E31" s="39">
        <v>114448.25199999999</v>
      </c>
      <c r="F31" s="39">
        <v>-4125.6459999999997</v>
      </c>
    </row>
    <row r="32" spans="1:6" x14ac:dyDescent="0.25">
      <c r="A32" s="45" t="s">
        <v>210</v>
      </c>
      <c r="B32" s="27">
        <f>E33-E31</f>
        <v>-4.7249999999912689</v>
      </c>
      <c r="C32" s="27">
        <f>F33-F31</f>
        <v>14.826000000000022</v>
      </c>
      <c r="D32" s="35"/>
      <c r="E32" s="39"/>
      <c r="F32" s="39"/>
    </row>
    <row r="33" spans="1:6" x14ac:dyDescent="0.25">
      <c r="A33" s="39">
        <v>15.56</v>
      </c>
      <c r="D33" s="35" t="s">
        <v>3</v>
      </c>
      <c r="E33" s="39">
        <v>114443.527</v>
      </c>
      <c r="F33" s="39">
        <v>-4110.82</v>
      </c>
    </row>
    <row r="34" spans="1:6" x14ac:dyDescent="0.25">
      <c r="D34" s="35"/>
      <c r="E34" s="39"/>
      <c r="F34" s="39"/>
    </row>
    <row r="35" spans="1:6" x14ac:dyDescent="0.25">
      <c r="A35" s="48" t="s">
        <v>289</v>
      </c>
      <c r="D35" s="35" t="s">
        <v>3</v>
      </c>
      <c r="E35" s="39">
        <v>114443.527</v>
      </c>
      <c r="F35" s="39">
        <v>-4110.82</v>
      </c>
    </row>
    <row r="36" spans="1:6" x14ac:dyDescent="0.25">
      <c r="A36" s="45" t="s">
        <v>210</v>
      </c>
      <c r="B36" s="27">
        <f>E37-E35</f>
        <v>-4.7250000000058208</v>
      </c>
      <c r="C36" s="27">
        <f>F37-F35</f>
        <v>14.825999999999567</v>
      </c>
    </row>
    <row r="37" spans="1:6" x14ac:dyDescent="0.25">
      <c r="A37" s="39">
        <v>15.56</v>
      </c>
      <c r="D37" s="35" t="s">
        <v>4</v>
      </c>
      <c r="E37" s="39">
        <v>114438.802</v>
      </c>
      <c r="F37" s="39">
        <v>-4095.9940000000001</v>
      </c>
    </row>
    <row r="39" spans="1:6" x14ac:dyDescent="0.25">
      <c r="A39" s="48" t="s">
        <v>290</v>
      </c>
      <c r="D39" s="35" t="s">
        <v>4</v>
      </c>
      <c r="E39" s="39">
        <v>114438.802</v>
      </c>
      <c r="F39" s="39">
        <v>-4095.9940000000001</v>
      </c>
    </row>
    <row r="40" spans="1:6" x14ac:dyDescent="0.25">
      <c r="A40" s="45" t="s">
        <v>210</v>
      </c>
      <c r="B40" s="27">
        <f>E41-E39</f>
        <v>-3.4539999999979045</v>
      </c>
      <c r="C40" s="27">
        <f>F41-F39</f>
        <v>10.838999999999942</v>
      </c>
    </row>
    <row r="41" spans="1:6" x14ac:dyDescent="0.25">
      <c r="A41" s="39">
        <v>11.38</v>
      </c>
      <c r="D41" s="38" t="s">
        <v>103</v>
      </c>
      <c r="E41" s="44">
        <v>114435.348</v>
      </c>
      <c r="F41" s="44">
        <v>-4085.1550000000002</v>
      </c>
    </row>
    <row r="43" spans="1:6" x14ac:dyDescent="0.25">
      <c r="A43" s="48" t="s">
        <v>291</v>
      </c>
      <c r="D43" s="38" t="s">
        <v>103</v>
      </c>
      <c r="E43" s="44">
        <v>114435.348</v>
      </c>
      <c r="F43" s="44">
        <v>-4085.1550000000002</v>
      </c>
    </row>
    <row r="44" spans="1:6" x14ac:dyDescent="0.25">
      <c r="A44" s="45" t="s">
        <v>292</v>
      </c>
      <c r="B44" s="27">
        <f>E45-E43</f>
        <v>2.9320000000006985</v>
      </c>
      <c r="C44" s="27">
        <f>F45-F43</f>
        <v>5.6190000000001419</v>
      </c>
    </row>
    <row r="45" spans="1:6" x14ac:dyDescent="0.25">
      <c r="A45" s="39">
        <v>6.3380000000000001</v>
      </c>
      <c r="D45" s="38" t="s">
        <v>104</v>
      </c>
      <c r="E45" s="44">
        <v>114438.28</v>
      </c>
      <c r="F45" s="44">
        <v>-4079.5360000000001</v>
      </c>
    </row>
    <row r="47" spans="1:6" x14ac:dyDescent="0.25">
      <c r="A47" s="48" t="s">
        <v>293</v>
      </c>
      <c r="D47" s="38" t="s">
        <v>104</v>
      </c>
      <c r="E47" s="44">
        <v>114438.28</v>
      </c>
      <c r="F47" s="44">
        <v>-4079.5360000000001</v>
      </c>
    </row>
    <row r="48" spans="1:6" x14ac:dyDescent="0.25">
      <c r="A48" s="45" t="s">
        <v>212</v>
      </c>
      <c r="B48" s="27">
        <f>E49-E47</f>
        <v>26.756999999997788</v>
      </c>
      <c r="C48" s="27">
        <f>F49-F47</f>
        <v>8.2880000000000109</v>
      </c>
    </row>
    <row r="49" spans="1:6" x14ac:dyDescent="0.25">
      <c r="A49" s="18">
        <v>28.01</v>
      </c>
      <c r="D49" s="35" t="s">
        <v>10</v>
      </c>
      <c r="E49" s="39">
        <v>114465.037</v>
      </c>
      <c r="F49" s="39">
        <v>-4071.248</v>
      </c>
    </row>
    <row r="51" spans="1:6" x14ac:dyDescent="0.25">
      <c r="A51" s="48" t="s">
        <v>294</v>
      </c>
      <c r="D51" s="35" t="s">
        <v>10</v>
      </c>
      <c r="E51" s="39">
        <v>114465.037</v>
      </c>
      <c r="F51" s="39">
        <v>-4071.248</v>
      </c>
    </row>
    <row r="52" spans="1:6" x14ac:dyDescent="0.25">
      <c r="A52" s="45" t="s">
        <v>295</v>
      </c>
      <c r="B52" s="27">
        <f>E53-E51</f>
        <v>4.8209999999962747</v>
      </c>
      <c r="C52" s="27">
        <f>F53-F51</f>
        <v>-15.126999999999953</v>
      </c>
    </row>
    <row r="53" spans="1:6" x14ac:dyDescent="0.25">
      <c r="A53" s="39">
        <v>15.88</v>
      </c>
      <c r="D53" s="35" t="s">
        <v>9</v>
      </c>
      <c r="E53" s="39">
        <v>114469.85799999999</v>
      </c>
      <c r="F53" s="39">
        <v>-4086.375</v>
      </c>
    </row>
    <row r="55" spans="1:6" x14ac:dyDescent="0.25">
      <c r="A55" s="48" t="s">
        <v>296</v>
      </c>
      <c r="D55" s="35" t="s">
        <v>9</v>
      </c>
      <c r="E55" s="39">
        <v>114469.85799999999</v>
      </c>
      <c r="F55" s="39">
        <v>-4086.375</v>
      </c>
    </row>
    <row r="56" spans="1:6" x14ac:dyDescent="0.25">
      <c r="A56" s="45" t="s">
        <v>295</v>
      </c>
      <c r="B56" s="27">
        <f>E57-E55</f>
        <v>4.7250000000058208</v>
      </c>
      <c r="C56" s="27">
        <f>F57-F55</f>
        <v>-14.826000000000022</v>
      </c>
    </row>
    <row r="57" spans="1:6" x14ac:dyDescent="0.25">
      <c r="A57" s="39">
        <v>15.56</v>
      </c>
      <c r="D57" s="35" t="s">
        <v>8</v>
      </c>
      <c r="E57" s="39">
        <v>114474.583</v>
      </c>
      <c r="F57" s="39">
        <v>-4101.201</v>
      </c>
    </row>
    <row r="59" spans="1:6" x14ac:dyDescent="0.25">
      <c r="A59" s="48" t="s">
        <v>297</v>
      </c>
      <c r="D59" s="35" t="s">
        <v>8</v>
      </c>
      <c r="E59" s="39">
        <v>114474.583</v>
      </c>
      <c r="F59" s="39">
        <v>-4101.201</v>
      </c>
    </row>
    <row r="60" spans="1:6" x14ac:dyDescent="0.25">
      <c r="A60" s="45" t="s">
        <v>295</v>
      </c>
      <c r="B60" s="27">
        <f>E61-E59</f>
        <v>4.7240000000019791</v>
      </c>
      <c r="C60" s="27">
        <f>F61-F59</f>
        <v>-14.826000000000022</v>
      </c>
    </row>
    <row r="61" spans="1:6" x14ac:dyDescent="0.25">
      <c r="A61" s="39">
        <v>15.56</v>
      </c>
      <c r="D61" s="35" t="s">
        <v>7</v>
      </c>
      <c r="E61" s="39">
        <v>114479.307</v>
      </c>
      <c r="F61" s="39">
        <v>-4116.027</v>
      </c>
    </row>
    <row r="63" spans="1:6" x14ac:dyDescent="0.25">
      <c r="A63" s="48" t="s">
        <v>298</v>
      </c>
      <c r="D63" s="35" t="s">
        <v>7</v>
      </c>
      <c r="E63" s="39">
        <v>114479.307</v>
      </c>
      <c r="F63" s="39">
        <v>-4116.027</v>
      </c>
    </row>
    <row r="64" spans="1:6" x14ac:dyDescent="0.25">
      <c r="A64" s="45" t="s">
        <v>295</v>
      </c>
      <c r="B64" s="27">
        <f>E65-E63</f>
        <v>5.05899999999383</v>
      </c>
      <c r="C64" s="27">
        <f>F65-F63</f>
        <v>-15.873999999999796</v>
      </c>
    </row>
    <row r="65" spans="1:6" x14ac:dyDescent="0.25">
      <c r="A65" s="39">
        <v>16.66</v>
      </c>
      <c r="D65" s="35" t="s">
        <v>6</v>
      </c>
      <c r="E65" s="39">
        <v>114484.36599999999</v>
      </c>
      <c r="F65" s="39">
        <v>-4131.9009999999998</v>
      </c>
    </row>
    <row r="67" spans="1:6" x14ac:dyDescent="0.25">
      <c r="A67" s="48" t="s">
        <v>299</v>
      </c>
      <c r="D67" s="35" t="s">
        <v>6</v>
      </c>
      <c r="E67" s="39">
        <v>114484.36599999999</v>
      </c>
      <c r="F67" s="39">
        <v>-4131.9009999999998</v>
      </c>
    </row>
    <row r="68" spans="1:6" x14ac:dyDescent="0.25">
      <c r="A68" s="45" t="s">
        <v>295</v>
      </c>
      <c r="B68" s="27">
        <f>E69-E67</f>
        <v>4.3950000000040745</v>
      </c>
      <c r="C68" s="27">
        <f>F69-F67</f>
        <v>-13.791000000000167</v>
      </c>
    </row>
    <row r="69" spans="1:6" x14ac:dyDescent="0.25">
      <c r="A69" s="18">
        <v>14.47</v>
      </c>
      <c r="D69" s="35" t="s">
        <v>5</v>
      </c>
      <c r="E69" s="39">
        <v>114488.761</v>
      </c>
      <c r="F69" s="39">
        <v>-4145.692</v>
      </c>
    </row>
    <row r="71" spans="1:6" x14ac:dyDescent="0.25">
      <c r="A71" s="48" t="s">
        <v>208</v>
      </c>
      <c r="D71" s="35" t="s">
        <v>5</v>
      </c>
      <c r="E71" s="39">
        <v>114488.761</v>
      </c>
      <c r="F71" s="39">
        <v>-4145.692</v>
      </c>
    </row>
    <row r="72" spans="1:6" x14ac:dyDescent="0.25">
      <c r="A72" s="45" t="s">
        <v>181</v>
      </c>
      <c r="B72" s="27">
        <f>E73-E71</f>
        <v>-35.353999999992084</v>
      </c>
      <c r="C72" s="27">
        <f>F73-F71</f>
        <v>-10.951000000000022</v>
      </c>
    </row>
    <row r="73" spans="1:6" x14ac:dyDescent="0.25">
      <c r="A73" s="39">
        <v>37.01</v>
      </c>
      <c r="D73" s="38" t="s">
        <v>98</v>
      </c>
      <c r="E73" s="44">
        <v>114453.40700000001</v>
      </c>
      <c r="F73" s="44">
        <v>-4156.643</v>
      </c>
    </row>
    <row r="76" spans="1:6" x14ac:dyDescent="0.25">
      <c r="A76" s="48"/>
    </row>
    <row r="77" spans="1:6" x14ac:dyDescent="0.25">
      <c r="A77" s="48" t="s">
        <v>300</v>
      </c>
      <c r="D77" s="35" t="s">
        <v>13</v>
      </c>
      <c r="E77" s="39">
        <v>114496.092</v>
      </c>
      <c r="F77" s="39">
        <v>-4061.6280000000002</v>
      </c>
    </row>
    <row r="78" spans="1:6" x14ac:dyDescent="0.25">
      <c r="A78" s="45" t="s">
        <v>181</v>
      </c>
      <c r="B78" s="27">
        <f>E79-E77</f>
        <v>-4.2980000000097789</v>
      </c>
      <c r="C78" s="27">
        <f>F79-F77</f>
        <v>-1.3319999999998799</v>
      </c>
    </row>
    <row r="79" spans="1:6" x14ac:dyDescent="0.25">
      <c r="A79" s="39">
        <v>4.5</v>
      </c>
      <c r="D79" s="35" t="s">
        <v>203</v>
      </c>
      <c r="E79" s="39">
        <v>114491.79399999999</v>
      </c>
      <c r="F79" s="39">
        <v>-4062.96</v>
      </c>
    </row>
    <row r="81" spans="1:6" x14ac:dyDescent="0.25">
      <c r="A81" s="48" t="s">
        <v>301</v>
      </c>
      <c r="D81" s="35" t="s">
        <v>203</v>
      </c>
      <c r="E81" s="39">
        <v>114491.79399999999</v>
      </c>
      <c r="F81" s="39">
        <v>-4062.96</v>
      </c>
    </row>
    <row r="82" spans="1:6" x14ac:dyDescent="0.25">
      <c r="A82" s="45" t="s">
        <v>181</v>
      </c>
      <c r="B82" s="27">
        <f>E83-E81</f>
        <v>-26.756999999997788</v>
      </c>
      <c r="C82" s="27">
        <f>F83-F81</f>
        <v>-8.2880000000000109</v>
      </c>
    </row>
    <row r="83" spans="1:6" x14ac:dyDescent="0.25">
      <c r="A83" s="18">
        <v>28.01</v>
      </c>
      <c r="D83" s="35" t="s">
        <v>10</v>
      </c>
      <c r="E83" s="39">
        <v>114465.037</v>
      </c>
      <c r="F83" s="39">
        <v>-4071.248</v>
      </c>
    </row>
    <row r="84" spans="1:6" x14ac:dyDescent="0.25">
      <c r="D84" s="35"/>
      <c r="E84" s="39"/>
      <c r="F84" s="39"/>
    </row>
    <row r="85" spans="1:6" x14ac:dyDescent="0.25">
      <c r="A85" s="48" t="s">
        <v>294</v>
      </c>
      <c r="D85" s="35" t="s">
        <v>10</v>
      </c>
      <c r="E85" s="39">
        <v>114465.037</v>
      </c>
      <c r="F85" s="39">
        <v>-4071.248</v>
      </c>
    </row>
    <row r="86" spans="1:6" x14ac:dyDescent="0.25">
      <c r="A86" s="45" t="s">
        <v>295</v>
      </c>
      <c r="B86" s="27">
        <f>E87-E85</f>
        <v>4.8209999999962747</v>
      </c>
      <c r="C86" s="27">
        <f>F87-F85</f>
        <v>-15.126999999999953</v>
      </c>
      <c r="D86" s="35"/>
      <c r="E86" s="39"/>
      <c r="F86" s="39"/>
    </row>
    <row r="87" spans="1:6" x14ac:dyDescent="0.25">
      <c r="A87" s="39">
        <v>15.88</v>
      </c>
      <c r="D87" s="35" t="s">
        <v>9</v>
      </c>
      <c r="E87" s="39">
        <v>114469.85799999999</v>
      </c>
      <c r="F87" s="39">
        <v>-4086.375</v>
      </c>
    </row>
    <row r="89" spans="1:6" x14ac:dyDescent="0.25">
      <c r="A89" s="48" t="s">
        <v>296</v>
      </c>
      <c r="D89" s="35" t="s">
        <v>9</v>
      </c>
      <c r="E89" s="39">
        <v>114469.85799999999</v>
      </c>
      <c r="F89" s="39">
        <v>-4086.375</v>
      </c>
    </row>
    <row r="90" spans="1:6" x14ac:dyDescent="0.25">
      <c r="A90" s="45" t="s">
        <v>295</v>
      </c>
      <c r="B90" s="27">
        <f>E91-E89</f>
        <v>4.7250000000058208</v>
      </c>
      <c r="C90" s="27">
        <f>F91-F89</f>
        <v>-14.826000000000022</v>
      </c>
    </row>
    <row r="91" spans="1:6" x14ac:dyDescent="0.25">
      <c r="A91" s="39">
        <v>15.56</v>
      </c>
      <c r="D91" s="35" t="s">
        <v>8</v>
      </c>
      <c r="E91" s="39">
        <v>114474.583</v>
      </c>
      <c r="F91" s="39">
        <v>-4101.201</v>
      </c>
    </row>
    <row r="93" spans="1:6" x14ac:dyDescent="0.25">
      <c r="A93" s="48" t="s">
        <v>297</v>
      </c>
      <c r="D93" s="35" t="s">
        <v>8</v>
      </c>
      <c r="E93" s="39">
        <v>114474.583</v>
      </c>
      <c r="F93" s="39">
        <v>-4101.201</v>
      </c>
    </row>
    <row r="94" spans="1:6" x14ac:dyDescent="0.25">
      <c r="A94" s="45" t="s">
        <v>295</v>
      </c>
      <c r="B94" s="27">
        <f>E95-E93</f>
        <v>4.7240000000019791</v>
      </c>
      <c r="C94" s="27">
        <f>F95-F93</f>
        <v>-14.826000000000022</v>
      </c>
    </row>
    <row r="95" spans="1:6" x14ac:dyDescent="0.25">
      <c r="A95" s="39">
        <v>15.56</v>
      </c>
      <c r="D95" s="35" t="s">
        <v>7</v>
      </c>
      <c r="E95" s="39">
        <v>114479.307</v>
      </c>
      <c r="F95" s="39">
        <v>-4116.027</v>
      </c>
    </row>
    <row r="97" spans="1:6" x14ac:dyDescent="0.25">
      <c r="A97" s="48" t="s">
        <v>298</v>
      </c>
      <c r="D97" s="35" t="s">
        <v>7</v>
      </c>
      <c r="E97" s="39">
        <v>114479.307</v>
      </c>
      <c r="F97" s="39">
        <v>-4116.027</v>
      </c>
    </row>
    <row r="98" spans="1:6" x14ac:dyDescent="0.25">
      <c r="A98" s="45" t="s">
        <v>295</v>
      </c>
      <c r="B98" s="27">
        <f>E99-E97</f>
        <v>5.05899999999383</v>
      </c>
      <c r="C98" s="27">
        <f>F99-F97</f>
        <v>-15.873999999999796</v>
      </c>
    </row>
    <row r="99" spans="1:6" x14ac:dyDescent="0.25">
      <c r="A99" s="39">
        <v>16.66</v>
      </c>
      <c r="D99" s="35" t="s">
        <v>6</v>
      </c>
      <c r="E99" s="39">
        <v>114484.36599999999</v>
      </c>
      <c r="F99" s="39">
        <v>-4131.9009999999998</v>
      </c>
    </row>
    <row r="100" spans="1:6" x14ac:dyDescent="0.25">
      <c r="A100" s="39"/>
      <c r="D100" s="35"/>
      <c r="E100" s="39"/>
      <c r="F100" s="39"/>
    </row>
    <row r="101" spans="1:6" x14ac:dyDescent="0.25">
      <c r="A101" s="66" t="s">
        <v>299</v>
      </c>
      <c r="D101" s="35" t="s">
        <v>6</v>
      </c>
      <c r="E101" s="39">
        <v>114484.36599999999</v>
      </c>
      <c r="F101" s="39">
        <v>-4131.9009999999998</v>
      </c>
    </row>
    <row r="102" spans="1:6" x14ac:dyDescent="0.25">
      <c r="A102" s="45" t="s">
        <v>295</v>
      </c>
      <c r="B102" s="27">
        <f>E103-E101</f>
        <v>4.3950000000040745</v>
      </c>
      <c r="C102" s="27">
        <f>F103-F101</f>
        <v>-13.791000000000167</v>
      </c>
      <c r="D102" s="35"/>
      <c r="E102" s="39"/>
      <c r="F102" s="39"/>
    </row>
    <row r="103" spans="1:6" x14ac:dyDescent="0.25">
      <c r="A103" s="39">
        <v>14.47</v>
      </c>
      <c r="D103" s="35" t="s">
        <v>207</v>
      </c>
      <c r="E103" s="39">
        <v>114488.761</v>
      </c>
      <c r="F103" s="39">
        <v>-4145.692</v>
      </c>
    </row>
    <row r="105" spans="1:6" x14ac:dyDescent="0.25">
      <c r="A105" s="48" t="s">
        <v>302</v>
      </c>
      <c r="D105" s="35" t="s">
        <v>207</v>
      </c>
      <c r="E105" s="39">
        <v>114488.761</v>
      </c>
      <c r="F105" s="39">
        <v>-4145.692</v>
      </c>
    </row>
    <row r="106" spans="1:6" x14ac:dyDescent="0.25">
      <c r="A106" s="45" t="s">
        <v>212</v>
      </c>
      <c r="B106" s="27">
        <f>E107-E105</f>
        <v>35.354000000006636</v>
      </c>
      <c r="C106" s="27">
        <f>F107-F105</f>
        <v>10.951000000000022</v>
      </c>
    </row>
    <row r="107" spans="1:6" x14ac:dyDescent="0.25">
      <c r="A107" s="39">
        <v>37.01</v>
      </c>
      <c r="D107" s="35" t="s">
        <v>23</v>
      </c>
      <c r="E107" s="39">
        <v>114524.11500000001</v>
      </c>
      <c r="F107" s="39">
        <v>-4134.741</v>
      </c>
    </row>
    <row r="109" spans="1:6" x14ac:dyDescent="0.25">
      <c r="A109" s="48" t="s">
        <v>303</v>
      </c>
      <c r="D109" s="35" t="s">
        <v>23</v>
      </c>
      <c r="E109" s="39">
        <v>114524.11500000001</v>
      </c>
      <c r="F109" s="39">
        <v>-4134.741</v>
      </c>
    </row>
    <row r="110" spans="1:6" x14ac:dyDescent="0.25">
      <c r="A110" s="45" t="s">
        <v>210</v>
      </c>
      <c r="B110" s="27">
        <f>E111-E109</f>
        <v>-3.3790000000008149</v>
      </c>
      <c r="C110" s="27">
        <f>F111-F109</f>
        <v>10.604999999999563</v>
      </c>
    </row>
    <row r="111" spans="1:6" x14ac:dyDescent="0.25">
      <c r="A111" s="18">
        <v>11.13</v>
      </c>
      <c r="D111" s="35" t="s">
        <v>22</v>
      </c>
      <c r="E111" s="39">
        <v>114520.736</v>
      </c>
      <c r="F111" s="39">
        <v>-4124.1360000000004</v>
      </c>
    </row>
    <row r="113" spans="1:6" x14ac:dyDescent="0.25">
      <c r="A113" s="48" t="s">
        <v>304</v>
      </c>
      <c r="D113" s="35" t="s">
        <v>22</v>
      </c>
      <c r="E113" s="39">
        <v>114520.736</v>
      </c>
      <c r="F113" s="39">
        <v>-4124.1360000000004</v>
      </c>
    </row>
    <row r="114" spans="1:6" x14ac:dyDescent="0.25">
      <c r="A114" s="45" t="s">
        <v>181</v>
      </c>
      <c r="B114" s="27">
        <f>E115-E113</f>
        <v>-8.5979999999981374</v>
      </c>
      <c r="C114" s="27">
        <f>F115-F113</f>
        <v>-2.6629999999995562</v>
      </c>
    </row>
    <row r="115" spans="1:6" x14ac:dyDescent="0.25">
      <c r="A115" s="39">
        <v>9</v>
      </c>
      <c r="D115" s="35" t="s">
        <v>21</v>
      </c>
      <c r="E115" s="39">
        <v>114512.13800000001</v>
      </c>
      <c r="F115" s="39">
        <v>-4126.799</v>
      </c>
    </row>
    <row r="117" spans="1:6" x14ac:dyDescent="0.25">
      <c r="A117" s="48" t="s">
        <v>305</v>
      </c>
      <c r="D117" s="35" t="s">
        <v>21</v>
      </c>
      <c r="E117" s="39">
        <v>114512.13800000001</v>
      </c>
      <c r="F117" s="39">
        <v>-4126.799</v>
      </c>
    </row>
    <row r="118" spans="1:6" x14ac:dyDescent="0.25">
      <c r="A118" s="45" t="s">
        <v>210</v>
      </c>
      <c r="B118" s="27">
        <f>E119-E117</f>
        <v>-1.0149999999994179</v>
      </c>
      <c r="C118" s="27">
        <f>F119-F117</f>
        <v>3.1859999999996944</v>
      </c>
    </row>
    <row r="119" spans="1:6" x14ac:dyDescent="0.25">
      <c r="A119" s="39">
        <v>3.3439999999999999</v>
      </c>
      <c r="D119" s="35" t="s">
        <v>20</v>
      </c>
      <c r="E119" s="39">
        <v>114511.12300000001</v>
      </c>
      <c r="F119" s="39">
        <v>-4123.6130000000003</v>
      </c>
    </row>
    <row r="121" spans="1:6" x14ac:dyDescent="0.25">
      <c r="A121" s="48" t="s">
        <v>306</v>
      </c>
      <c r="D121" s="35" t="s">
        <v>20</v>
      </c>
      <c r="E121" s="39">
        <v>114511.12300000001</v>
      </c>
      <c r="F121" s="39">
        <v>-4123.6130000000003</v>
      </c>
    </row>
    <row r="122" spans="1:6" x14ac:dyDescent="0.25">
      <c r="A122" s="45" t="s">
        <v>210</v>
      </c>
      <c r="B122" s="27">
        <f>E123-E121</f>
        <v>-1.7060000000055879</v>
      </c>
      <c r="C122" s="27">
        <f>F123-F121</f>
        <v>5.3550000000004729</v>
      </c>
    </row>
    <row r="123" spans="1:6" x14ac:dyDescent="0.25">
      <c r="A123" s="39">
        <v>5.62</v>
      </c>
      <c r="D123" s="35" t="s">
        <v>203</v>
      </c>
      <c r="E123" s="39">
        <v>114509.417</v>
      </c>
      <c r="F123" s="39">
        <v>-4118.2579999999998</v>
      </c>
    </row>
    <row r="125" spans="1:6" x14ac:dyDescent="0.25">
      <c r="A125" s="48" t="s">
        <v>307</v>
      </c>
      <c r="D125" s="35" t="s">
        <v>203</v>
      </c>
      <c r="E125" s="39">
        <v>114509.417</v>
      </c>
      <c r="F125" s="39">
        <v>-4118.2579999999998</v>
      </c>
    </row>
    <row r="126" spans="1:6" x14ac:dyDescent="0.25">
      <c r="A126" s="45" t="s">
        <v>212</v>
      </c>
      <c r="B126" s="27">
        <f>E127-E125</f>
        <v>4.2930000000051223</v>
      </c>
      <c r="C126" s="27">
        <f>F127-F125</f>
        <v>1.3479999999999563</v>
      </c>
    </row>
    <row r="127" spans="1:6" x14ac:dyDescent="0.25">
      <c r="A127" s="39">
        <v>4.5</v>
      </c>
      <c r="D127" s="35" t="s">
        <v>18</v>
      </c>
      <c r="E127" s="39">
        <v>114513.71</v>
      </c>
      <c r="F127" s="39">
        <v>-4116.91</v>
      </c>
    </row>
    <row r="129" spans="1:6" x14ac:dyDescent="0.25">
      <c r="A129" s="48" t="s">
        <v>308</v>
      </c>
      <c r="D129" s="35" t="s">
        <v>18</v>
      </c>
      <c r="E129" s="39">
        <v>114513.71</v>
      </c>
      <c r="F129" s="39">
        <v>-4116.91</v>
      </c>
    </row>
    <row r="130" spans="1:6" x14ac:dyDescent="0.25">
      <c r="A130" s="45" t="s">
        <v>210</v>
      </c>
      <c r="B130" s="27">
        <f>E131-E129</f>
        <v>-1.3720000000030268</v>
      </c>
      <c r="C130" s="27">
        <f>F131-F129</f>
        <v>4.3059999999995853</v>
      </c>
    </row>
    <row r="131" spans="1:6" x14ac:dyDescent="0.25">
      <c r="A131" s="39">
        <v>4.5</v>
      </c>
      <c r="D131" s="35" t="s">
        <v>200</v>
      </c>
      <c r="E131" s="39">
        <v>114512.338</v>
      </c>
      <c r="F131" s="39">
        <v>-4112.6040000000003</v>
      </c>
    </row>
    <row r="133" spans="1:6" x14ac:dyDescent="0.25">
      <c r="A133" s="48" t="s">
        <v>309</v>
      </c>
      <c r="D133" s="35" t="s">
        <v>200</v>
      </c>
      <c r="E133" s="39">
        <v>114512.338</v>
      </c>
      <c r="F133" s="39">
        <v>-4112.6040000000003</v>
      </c>
    </row>
    <row r="134" spans="1:6" x14ac:dyDescent="0.25">
      <c r="A134" s="45" t="s">
        <v>210</v>
      </c>
      <c r="B134" s="27">
        <f>E135-E133</f>
        <v>-1.9750000000058208</v>
      </c>
      <c r="C134" s="27">
        <f>F135-F133</f>
        <v>6.1970000000001164</v>
      </c>
    </row>
    <row r="135" spans="1:6" x14ac:dyDescent="0.25">
      <c r="A135" s="39">
        <v>6.5039999999999996</v>
      </c>
      <c r="D135" s="35" t="s">
        <v>16</v>
      </c>
      <c r="E135" s="39">
        <v>114510.363</v>
      </c>
      <c r="F135" s="39">
        <v>-4106.4070000000002</v>
      </c>
    </row>
    <row r="137" spans="1:6" x14ac:dyDescent="0.25">
      <c r="A137" s="48" t="s">
        <v>310</v>
      </c>
      <c r="D137" s="35" t="s">
        <v>16</v>
      </c>
      <c r="E137" s="39">
        <v>114510.363</v>
      </c>
      <c r="F137" s="39">
        <v>-4106.4070000000002</v>
      </c>
    </row>
    <row r="138" spans="1:6" x14ac:dyDescent="0.25">
      <c r="A138" s="45" t="s">
        <v>210</v>
      </c>
      <c r="B138" s="27">
        <f>E139-E137</f>
        <v>-4.7249999999912689</v>
      </c>
      <c r="C138" s="27">
        <f>F139-F137</f>
        <v>14.826000000000022</v>
      </c>
    </row>
    <row r="139" spans="1:6" x14ac:dyDescent="0.25">
      <c r="A139" s="39">
        <v>15.56</v>
      </c>
      <c r="D139" s="35" t="s">
        <v>15</v>
      </c>
      <c r="E139" s="39">
        <v>114505.63800000001</v>
      </c>
      <c r="F139" s="39">
        <v>-4091.5810000000001</v>
      </c>
    </row>
    <row r="141" spans="1:6" x14ac:dyDescent="0.25">
      <c r="A141" s="48" t="s">
        <v>311</v>
      </c>
      <c r="D141" s="35" t="s">
        <v>15</v>
      </c>
      <c r="E141" s="39">
        <v>114505.63800000001</v>
      </c>
      <c r="F141" s="39">
        <v>-4091.5810000000001</v>
      </c>
    </row>
    <row r="142" spans="1:6" x14ac:dyDescent="0.25">
      <c r="A142" s="45" t="s">
        <v>210</v>
      </c>
      <c r="B142" s="27">
        <f>E143-E141</f>
        <v>4.7249999999912689</v>
      </c>
      <c r="C142" s="27">
        <f>F143-F141</f>
        <v>-14.826000000000022</v>
      </c>
    </row>
    <row r="143" spans="1:6" x14ac:dyDescent="0.25">
      <c r="A143" s="39">
        <v>15.56</v>
      </c>
      <c r="D143" s="35" t="s">
        <v>16</v>
      </c>
      <c r="E143" s="39">
        <v>114510.363</v>
      </c>
      <c r="F143" s="39">
        <v>-4106.4070000000002</v>
      </c>
    </row>
    <row r="145" spans="1:6" x14ac:dyDescent="0.25">
      <c r="A145" s="48" t="s">
        <v>312</v>
      </c>
      <c r="D145" s="35" t="s">
        <v>16</v>
      </c>
      <c r="E145" s="39">
        <v>114510.363</v>
      </c>
      <c r="F145" s="39">
        <v>-4106.4070000000002</v>
      </c>
    </row>
    <row r="146" spans="1:6" x14ac:dyDescent="0.25">
      <c r="A146" s="45" t="s">
        <v>210</v>
      </c>
      <c r="B146" s="27">
        <f>E147-E145</f>
        <v>1.9750000000058208</v>
      </c>
      <c r="C146" s="27">
        <f>F147-F145</f>
        <v>-6.1970000000001164</v>
      </c>
    </row>
    <row r="147" spans="1:6" x14ac:dyDescent="0.25">
      <c r="A147" s="39">
        <v>11.38</v>
      </c>
      <c r="D147" s="35" t="s">
        <v>200</v>
      </c>
      <c r="E147" s="39">
        <v>114512.338</v>
      </c>
      <c r="F147" s="39">
        <v>-4112.6040000000003</v>
      </c>
    </row>
    <row r="149" spans="1:6" x14ac:dyDescent="0.25">
      <c r="A149" s="48" t="s">
        <v>313</v>
      </c>
      <c r="D149" s="35" t="s">
        <v>200</v>
      </c>
      <c r="E149" s="39">
        <v>114512.338</v>
      </c>
      <c r="F149" s="39">
        <v>-4112.6040000000003</v>
      </c>
    </row>
    <row r="150" spans="1:6" x14ac:dyDescent="0.25">
      <c r="A150" s="45" t="s">
        <v>210</v>
      </c>
      <c r="B150" s="27">
        <f>E151-E149</f>
        <v>-16.245999999999185</v>
      </c>
      <c r="C150" s="27">
        <f>F151-F149</f>
        <v>50.976000000000113</v>
      </c>
    </row>
    <row r="151" spans="1:6" x14ac:dyDescent="0.25">
      <c r="A151" s="39">
        <v>4.5</v>
      </c>
      <c r="D151" s="35" t="s">
        <v>13</v>
      </c>
      <c r="E151" s="39">
        <v>114496.092</v>
      </c>
      <c r="F151" s="39">
        <v>-4061.6280000000002</v>
      </c>
    </row>
    <row r="155" spans="1:6" x14ac:dyDescent="0.25">
      <c r="A155" s="48" t="s">
        <v>303</v>
      </c>
      <c r="D155" s="35" t="s">
        <v>23</v>
      </c>
      <c r="E155" s="39">
        <v>114524.11500000001</v>
      </c>
      <c r="F155" s="39">
        <v>-4134.741</v>
      </c>
    </row>
    <row r="156" spans="1:6" x14ac:dyDescent="0.25">
      <c r="A156" s="45" t="s">
        <v>210</v>
      </c>
      <c r="B156" s="27">
        <f>E157-E155</f>
        <v>-3.3790000000008149</v>
      </c>
      <c r="C156" s="27">
        <f>F157-F155</f>
        <v>10.604999999999563</v>
      </c>
    </row>
    <row r="157" spans="1:6" x14ac:dyDescent="0.25">
      <c r="A157" s="18">
        <v>11.13</v>
      </c>
      <c r="D157" s="35" t="s">
        <v>22</v>
      </c>
      <c r="E157" s="39">
        <v>114520.736</v>
      </c>
      <c r="F157" s="39">
        <v>-4124.1360000000004</v>
      </c>
    </row>
    <row r="159" spans="1:6" x14ac:dyDescent="0.25">
      <c r="A159" s="48" t="s">
        <v>213</v>
      </c>
      <c r="D159" s="35" t="s">
        <v>22</v>
      </c>
      <c r="E159" s="39">
        <v>114520.736</v>
      </c>
      <c r="F159" s="39">
        <v>-4124.1360000000004</v>
      </c>
    </row>
    <row r="160" spans="1:6" x14ac:dyDescent="0.25">
      <c r="A160" s="45" t="s">
        <v>212</v>
      </c>
      <c r="B160" s="27">
        <f>E161-E159</f>
        <v>8.5939999999973224</v>
      </c>
      <c r="C160" s="27">
        <f>F161-F159</f>
        <v>2.6630000000004657</v>
      </c>
    </row>
    <row r="161" spans="1:6" x14ac:dyDescent="0.25">
      <c r="A161" s="18">
        <v>9</v>
      </c>
      <c r="D161" s="35" t="s">
        <v>24</v>
      </c>
      <c r="E161" s="39">
        <v>114529.33</v>
      </c>
      <c r="F161" s="39">
        <v>-4121.473</v>
      </c>
    </row>
    <row r="163" spans="1:6" x14ac:dyDescent="0.25">
      <c r="A163" s="48" t="s">
        <v>214</v>
      </c>
      <c r="D163" s="35" t="s">
        <v>24</v>
      </c>
      <c r="E163" s="39">
        <v>114529.33</v>
      </c>
      <c r="F163" s="39">
        <v>-4121.473</v>
      </c>
    </row>
    <row r="164" spans="1:6" x14ac:dyDescent="0.25">
      <c r="A164" s="45" t="s">
        <v>210</v>
      </c>
      <c r="B164" s="27">
        <f>E165-E163</f>
        <v>-1.0120000000024447</v>
      </c>
      <c r="C164" s="27">
        <f>F165-F163</f>
        <v>3.1869999999998981</v>
      </c>
    </row>
    <row r="165" spans="1:6" x14ac:dyDescent="0.25">
      <c r="A165" s="18">
        <v>3.34</v>
      </c>
      <c r="D165" s="35" t="s">
        <v>25</v>
      </c>
      <c r="E165" s="39">
        <v>114528.318</v>
      </c>
      <c r="F165" s="39">
        <v>-4118.2860000000001</v>
      </c>
    </row>
    <row r="167" spans="1:6" x14ac:dyDescent="0.25">
      <c r="A167" s="48" t="s">
        <v>215</v>
      </c>
      <c r="D167" s="35" t="s">
        <v>25</v>
      </c>
      <c r="E167" s="39">
        <v>114528.318</v>
      </c>
      <c r="F167" s="39">
        <v>-4118.2860000000001</v>
      </c>
    </row>
    <row r="168" spans="1:6" x14ac:dyDescent="0.25">
      <c r="A168" s="45" t="s">
        <v>179</v>
      </c>
      <c r="B168" s="27">
        <f>E169-E167</f>
        <v>-1.7289999999920838</v>
      </c>
      <c r="C168" s="27">
        <f>F169-F167</f>
        <v>5.4239999999999782</v>
      </c>
      <c r="D168" s="35"/>
      <c r="E168" s="39"/>
      <c r="F168" s="39"/>
    </row>
    <row r="169" spans="1:6" x14ac:dyDescent="0.25">
      <c r="A169" s="39">
        <v>5.69</v>
      </c>
      <c r="D169" s="35" t="s">
        <v>203</v>
      </c>
      <c r="E169" s="39">
        <v>114526.58900000001</v>
      </c>
      <c r="F169" s="39">
        <v>-4112.8620000000001</v>
      </c>
    </row>
    <row r="171" spans="1:6" x14ac:dyDescent="0.25">
      <c r="A171" s="48" t="s">
        <v>216</v>
      </c>
      <c r="D171" s="35" t="s">
        <v>203</v>
      </c>
      <c r="E171" s="39">
        <v>114526.58900000001</v>
      </c>
      <c r="F171" s="39">
        <v>-4112.8620000000001</v>
      </c>
    </row>
    <row r="172" spans="1:6" x14ac:dyDescent="0.25">
      <c r="A172" s="45" t="s">
        <v>181</v>
      </c>
      <c r="B172" s="39">
        <f>E173-E171</f>
        <v>-4.2880000000004657</v>
      </c>
      <c r="C172" s="39">
        <f>F173-F171</f>
        <v>-1.3479999999999563</v>
      </c>
      <c r="D172" s="35"/>
      <c r="E172" s="39"/>
      <c r="F172" s="39"/>
    </row>
    <row r="173" spans="1:6" x14ac:dyDescent="0.25">
      <c r="A173" s="39">
        <v>4.5</v>
      </c>
      <c r="B173" s="39"/>
      <c r="C173" s="39"/>
      <c r="D173" s="35" t="s">
        <v>28</v>
      </c>
      <c r="E173" s="39">
        <v>114522.30100000001</v>
      </c>
      <c r="F173" s="39">
        <v>-4114.21</v>
      </c>
    </row>
    <row r="174" spans="1:6" x14ac:dyDescent="0.25">
      <c r="B174" s="27"/>
      <c r="C174" s="27"/>
    </row>
    <row r="175" spans="1:6" x14ac:dyDescent="0.25">
      <c r="A175" s="48" t="s">
        <v>217</v>
      </c>
      <c r="B175" s="27"/>
      <c r="C175" s="27"/>
      <c r="D175" s="35" t="s">
        <v>28</v>
      </c>
      <c r="E175" s="39">
        <v>114522.30100000001</v>
      </c>
      <c r="F175" s="39">
        <v>-4114.21</v>
      </c>
    </row>
    <row r="176" spans="1:6" x14ac:dyDescent="0.25">
      <c r="A176" s="45" t="s">
        <v>179</v>
      </c>
      <c r="B176" s="39">
        <f>E177-E175</f>
        <v>-1.3660000000090804</v>
      </c>
      <c r="C176" s="39">
        <f>F177-F175</f>
        <v>4.2690000000002328</v>
      </c>
      <c r="D176" s="35"/>
      <c r="E176" s="39"/>
      <c r="F176" s="39"/>
    </row>
    <row r="177" spans="1:6" x14ac:dyDescent="0.25">
      <c r="A177" s="39">
        <v>4.5</v>
      </c>
      <c r="B177" s="39"/>
      <c r="C177" s="39"/>
      <c r="D177" s="35" t="s">
        <v>200</v>
      </c>
      <c r="E177" s="39">
        <v>114520.935</v>
      </c>
      <c r="F177" s="39">
        <v>-4109.9409999999998</v>
      </c>
    </row>
    <row r="178" spans="1:6" x14ac:dyDescent="0.25">
      <c r="B178" s="27"/>
      <c r="C178" s="27"/>
    </row>
    <row r="179" spans="1:6" x14ac:dyDescent="0.25">
      <c r="A179" s="48" t="s">
        <v>218</v>
      </c>
      <c r="B179" s="27"/>
      <c r="C179" s="27"/>
      <c r="D179" s="35" t="s">
        <v>200</v>
      </c>
      <c r="E179" s="39">
        <v>114520.935</v>
      </c>
      <c r="F179" s="39">
        <v>-4109.9409999999998</v>
      </c>
    </row>
    <row r="180" spans="1:6" x14ac:dyDescent="0.25">
      <c r="A180" s="45" t="s">
        <v>179</v>
      </c>
      <c r="B180" s="39">
        <f>E181-E179</f>
        <v>-1.9749999999912689</v>
      </c>
      <c r="C180" s="39">
        <f>F181-F179</f>
        <v>6.1970000000001164</v>
      </c>
      <c r="D180" s="35"/>
      <c r="E180" s="39"/>
      <c r="F180" s="39"/>
    </row>
    <row r="181" spans="1:6" x14ac:dyDescent="0.25">
      <c r="A181" s="39">
        <v>6.5039999999999996</v>
      </c>
      <c r="B181" s="35"/>
      <c r="C181" s="35"/>
      <c r="D181" s="35" t="s">
        <v>29</v>
      </c>
      <c r="E181" s="39">
        <v>114518.96</v>
      </c>
      <c r="F181" s="39">
        <v>-4103.7439999999997</v>
      </c>
    </row>
    <row r="183" spans="1:6" x14ac:dyDescent="0.25">
      <c r="A183" s="48" t="s">
        <v>219</v>
      </c>
      <c r="D183" s="35" t="s">
        <v>29</v>
      </c>
      <c r="E183" s="39">
        <v>114518.96</v>
      </c>
      <c r="F183" s="39">
        <v>-4103.7439999999997</v>
      </c>
    </row>
    <row r="184" spans="1:6" x14ac:dyDescent="0.25">
      <c r="A184" s="45" t="s">
        <v>179</v>
      </c>
      <c r="B184" s="39">
        <f>E185-E183</f>
        <v>-4.7250000000058208</v>
      </c>
      <c r="C184" s="39">
        <f>F185-F183</f>
        <v>14.825999999999567</v>
      </c>
      <c r="D184" s="35"/>
      <c r="E184" s="39"/>
      <c r="F184" s="39"/>
    </row>
    <row r="185" spans="1:6" x14ac:dyDescent="0.25">
      <c r="A185" s="39">
        <v>15.56</v>
      </c>
      <c r="B185" s="39"/>
      <c r="C185" s="39"/>
      <c r="D185" s="35" t="s">
        <v>30</v>
      </c>
      <c r="E185" s="39">
        <v>114514.235</v>
      </c>
      <c r="F185" s="39">
        <v>-4088.9180000000001</v>
      </c>
    </row>
    <row r="186" spans="1:6" x14ac:dyDescent="0.25">
      <c r="B186" s="27"/>
      <c r="C186" s="27"/>
    </row>
    <row r="187" spans="1:6" x14ac:dyDescent="0.25">
      <c r="A187" s="48" t="s">
        <v>220</v>
      </c>
      <c r="B187" s="27"/>
      <c r="C187" s="27"/>
      <c r="D187" s="35" t="s">
        <v>30</v>
      </c>
      <c r="E187" s="39">
        <v>114514.235</v>
      </c>
      <c r="F187" s="39">
        <v>-4088.9180000000001</v>
      </c>
    </row>
    <row r="188" spans="1:6" x14ac:dyDescent="0.25">
      <c r="A188" s="45" t="s">
        <v>179</v>
      </c>
      <c r="B188" s="39">
        <f>E189-E187</f>
        <v>-4.7250000000058208</v>
      </c>
      <c r="C188" s="39">
        <f>F189-F187</f>
        <v>14.826000000000022</v>
      </c>
      <c r="D188" s="35"/>
      <c r="E188" s="39"/>
      <c r="F188" s="39"/>
    </row>
    <row r="189" spans="1:6" x14ac:dyDescent="0.25">
      <c r="A189" s="39">
        <v>15.56</v>
      </c>
      <c r="B189" s="35"/>
      <c r="C189" s="35"/>
      <c r="D189" s="35" t="s">
        <v>31</v>
      </c>
      <c r="E189" s="39">
        <v>114509.51</v>
      </c>
      <c r="F189" s="39">
        <v>-4074.0920000000001</v>
      </c>
    </row>
    <row r="191" spans="1:6" x14ac:dyDescent="0.25">
      <c r="A191" s="48" t="s">
        <v>221</v>
      </c>
      <c r="D191" s="35" t="s">
        <v>31</v>
      </c>
      <c r="E191" s="39">
        <v>114509.51</v>
      </c>
      <c r="F191" s="39">
        <v>-4074.0920000000001</v>
      </c>
    </row>
    <row r="192" spans="1:6" x14ac:dyDescent="0.25">
      <c r="A192" s="45" t="s">
        <v>179</v>
      </c>
      <c r="B192" s="39">
        <f>E193-E191</f>
        <v>-3.4539999999979045</v>
      </c>
      <c r="C192" s="39">
        <f>F193-F191</f>
        <v>10.838999999999942</v>
      </c>
      <c r="D192" s="35"/>
      <c r="E192" s="39"/>
      <c r="F192" s="39"/>
    </row>
    <row r="193" spans="1:6" x14ac:dyDescent="0.25">
      <c r="A193" s="39">
        <v>11.38</v>
      </c>
      <c r="B193" s="35"/>
      <c r="C193" s="35"/>
      <c r="D193" s="35" t="s">
        <v>200</v>
      </c>
      <c r="E193" s="39">
        <v>114506.056</v>
      </c>
      <c r="F193" s="39">
        <v>-4063.2530000000002</v>
      </c>
    </row>
    <row r="195" spans="1:6" x14ac:dyDescent="0.25">
      <c r="A195" s="48" t="s">
        <v>222</v>
      </c>
      <c r="D195" s="35" t="s">
        <v>200</v>
      </c>
      <c r="E195" s="39">
        <v>114506.056</v>
      </c>
      <c r="F195" s="39">
        <v>-4063.2530000000002</v>
      </c>
    </row>
    <row r="196" spans="1:6" x14ac:dyDescent="0.25">
      <c r="A196" s="45" t="s">
        <v>179</v>
      </c>
      <c r="B196" s="39">
        <f>E197-E195</f>
        <v>-1.3659999999945285</v>
      </c>
      <c r="C196" s="39">
        <f>F197-F195</f>
        <v>4.2880000000000109</v>
      </c>
      <c r="D196" s="35"/>
      <c r="E196" s="39"/>
      <c r="F196" s="39"/>
    </row>
    <row r="197" spans="1:6" x14ac:dyDescent="0.25">
      <c r="A197" s="39">
        <v>4.5</v>
      </c>
      <c r="B197" s="35"/>
      <c r="C197" s="35"/>
      <c r="D197" s="35" t="s">
        <v>34</v>
      </c>
      <c r="E197" s="39">
        <v>114504.69</v>
      </c>
      <c r="F197" s="39">
        <v>-4058.9650000000001</v>
      </c>
    </row>
    <row r="199" spans="1:6" x14ac:dyDescent="0.25">
      <c r="A199" s="48" t="s">
        <v>223</v>
      </c>
      <c r="D199" s="35" t="s">
        <v>34</v>
      </c>
      <c r="E199" s="39">
        <v>114504.69</v>
      </c>
      <c r="F199" s="39">
        <v>-4058.9650000000001</v>
      </c>
    </row>
    <row r="200" spans="1:6" x14ac:dyDescent="0.25">
      <c r="A200" s="45" t="s">
        <v>212</v>
      </c>
      <c r="B200" s="39">
        <f>E201-E199</f>
        <v>4.297999999995227</v>
      </c>
      <c r="C200" s="39">
        <f>F201-F199</f>
        <v>1.331000000000131</v>
      </c>
      <c r="D200" s="35"/>
      <c r="E200" s="39"/>
      <c r="F200" s="39"/>
    </row>
    <row r="201" spans="1:6" x14ac:dyDescent="0.25">
      <c r="A201" s="39">
        <v>4.5</v>
      </c>
      <c r="B201" s="35"/>
      <c r="C201" s="35"/>
      <c r="D201" s="35" t="s">
        <v>203</v>
      </c>
      <c r="E201" s="39">
        <v>114508.988</v>
      </c>
      <c r="F201" s="39">
        <v>-4057.634</v>
      </c>
    </row>
    <row r="203" spans="1:6" x14ac:dyDescent="0.25">
      <c r="A203" s="48" t="s">
        <v>224</v>
      </c>
      <c r="D203" s="35" t="s">
        <v>203</v>
      </c>
      <c r="E203" s="39">
        <v>114508.988</v>
      </c>
      <c r="F203" s="39">
        <v>-4057.634</v>
      </c>
    </row>
    <row r="204" spans="1:6" x14ac:dyDescent="0.25">
      <c r="A204" s="45" t="s">
        <v>212</v>
      </c>
      <c r="B204" s="39">
        <f>E205-E203</f>
        <v>26.756999999997788</v>
      </c>
      <c r="C204" s="39">
        <f>F205-F203</f>
        <v>8.2880000000000109</v>
      </c>
      <c r="D204" s="35"/>
      <c r="E204" s="39"/>
      <c r="F204" s="39"/>
    </row>
    <row r="205" spans="1:6" x14ac:dyDescent="0.25">
      <c r="A205" s="39">
        <v>28.01</v>
      </c>
      <c r="B205" s="35"/>
      <c r="C205" s="35"/>
      <c r="D205" s="35" t="s">
        <v>35</v>
      </c>
      <c r="E205" s="39">
        <v>114535.745</v>
      </c>
      <c r="F205" s="39">
        <v>-4049.346</v>
      </c>
    </row>
    <row r="207" spans="1:6" x14ac:dyDescent="0.25">
      <c r="A207" s="48" t="s">
        <v>225</v>
      </c>
      <c r="D207" s="35" t="s">
        <v>35</v>
      </c>
      <c r="E207" s="39">
        <v>114535.745</v>
      </c>
      <c r="F207" s="39">
        <v>-4049.346</v>
      </c>
    </row>
    <row r="208" spans="1:6" x14ac:dyDescent="0.25">
      <c r="A208" s="45" t="s">
        <v>182</v>
      </c>
      <c r="B208" s="39">
        <f>E209-E207</f>
        <v>4.8210000000108266</v>
      </c>
      <c r="C208" s="39">
        <f>F209-F207</f>
        <v>-15.126999999999953</v>
      </c>
      <c r="D208" s="35"/>
      <c r="E208" s="39"/>
      <c r="F208" s="39"/>
    </row>
    <row r="209" spans="1:6" x14ac:dyDescent="0.25">
      <c r="A209" s="39">
        <v>15.88</v>
      </c>
      <c r="B209" s="35"/>
      <c r="C209" s="35"/>
      <c r="D209" s="35" t="s">
        <v>36</v>
      </c>
      <c r="E209" s="39">
        <v>114540.56600000001</v>
      </c>
      <c r="F209" s="39">
        <v>-4064.473</v>
      </c>
    </row>
    <row r="211" spans="1:6" x14ac:dyDescent="0.25">
      <c r="A211" s="48" t="s">
        <v>226</v>
      </c>
      <c r="D211" s="35" t="s">
        <v>36</v>
      </c>
      <c r="E211" s="39">
        <v>114540.56600000001</v>
      </c>
      <c r="F211" s="39">
        <v>-4064.473</v>
      </c>
    </row>
    <row r="212" spans="1:6" x14ac:dyDescent="0.25">
      <c r="A212" s="45" t="s">
        <v>182</v>
      </c>
      <c r="B212" s="39">
        <f>E213-E211</f>
        <v>4.7249999999912689</v>
      </c>
      <c r="C212" s="39">
        <f>F213-F211</f>
        <v>-14.826000000000022</v>
      </c>
      <c r="D212" s="35"/>
      <c r="E212" s="39"/>
      <c r="F212" s="39"/>
    </row>
    <row r="213" spans="1:6" x14ac:dyDescent="0.25">
      <c r="A213" s="39">
        <v>15.56</v>
      </c>
      <c r="B213" s="35"/>
      <c r="C213" s="35"/>
      <c r="D213" s="35" t="s">
        <v>37</v>
      </c>
      <c r="E213" s="39">
        <v>114545.291</v>
      </c>
      <c r="F213" s="39">
        <v>-4079.299</v>
      </c>
    </row>
    <row r="215" spans="1:6" x14ac:dyDescent="0.25">
      <c r="A215" s="48" t="s">
        <v>227</v>
      </c>
      <c r="D215" s="35" t="s">
        <v>37</v>
      </c>
      <c r="E215" s="39">
        <v>114545.291</v>
      </c>
      <c r="F215" s="39">
        <v>-4079.299</v>
      </c>
    </row>
    <row r="216" spans="1:6" x14ac:dyDescent="0.25">
      <c r="A216" s="45" t="s">
        <v>182</v>
      </c>
      <c r="B216" s="39">
        <f>E217-E215</f>
        <v>4.7240000000019791</v>
      </c>
      <c r="C216" s="39">
        <f>F217-F215</f>
        <v>-14.824999999999818</v>
      </c>
      <c r="D216" s="35"/>
      <c r="E216" s="39"/>
      <c r="F216" s="39"/>
    </row>
    <row r="217" spans="1:6" x14ac:dyDescent="0.25">
      <c r="A217" s="39">
        <v>15.56</v>
      </c>
      <c r="B217" s="35"/>
      <c r="C217" s="35"/>
      <c r="D217" s="35" t="s">
        <v>38</v>
      </c>
      <c r="E217" s="39">
        <v>114550.015</v>
      </c>
      <c r="F217" s="39">
        <v>-4094.1239999999998</v>
      </c>
    </row>
    <row r="219" spans="1:6" x14ac:dyDescent="0.25">
      <c r="A219" s="48" t="s">
        <v>228</v>
      </c>
      <c r="D219" s="35" t="s">
        <v>38</v>
      </c>
      <c r="E219" s="39">
        <v>114550.015</v>
      </c>
      <c r="F219" s="39">
        <v>-4094.1239999999998</v>
      </c>
    </row>
    <row r="220" spans="1:6" x14ac:dyDescent="0.25">
      <c r="A220" s="45" t="s">
        <v>182</v>
      </c>
      <c r="B220" s="39">
        <f>E221-E219</f>
        <v>5.05899999999383</v>
      </c>
      <c r="C220" s="39">
        <f>F221-F219</f>
        <v>-15.873999999999796</v>
      </c>
      <c r="D220" s="35"/>
      <c r="E220" s="39"/>
      <c r="F220" s="35"/>
    </row>
    <row r="221" spans="1:6" x14ac:dyDescent="0.25">
      <c r="A221" s="39">
        <v>16.66</v>
      </c>
      <c r="B221" s="35"/>
      <c r="C221" s="35"/>
      <c r="D221" s="35" t="s">
        <v>39</v>
      </c>
      <c r="E221" s="39">
        <v>114555.07399999999</v>
      </c>
      <c r="F221" s="39">
        <v>-4109.9979999999996</v>
      </c>
    </row>
    <row r="223" spans="1:6" x14ac:dyDescent="0.25">
      <c r="A223" s="48" t="s">
        <v>314</v>
      </c>
      <c r="D223" s="35" t="s">
        <v>39</v>
      </c>
      <c r="E223" s="39">
        <v>114555.07399999999</v>
      </c>
      <c r="F223" s="39">
        <v>-4109.9979999999996</v>
      </c>
    </row>
    <row r="224" spans="1:6" x14ac:dyDescent="0.25">
      <c r="A224" s="45" t="s">
        <v>182</v>
      </c>
      <c r="B224" s="27">
        <f>E225-E223</f>
        <v>4.3950000000040745</v>
      </c>
      <c r="C224" s="27">
        <f>F225-F223</f>
        <v>-13.792000000000371</v>
      </c>
    </row>
    <row r="225" spans="1:6" x14ac:dyDescent="0.25">
      <c r="A225" s="18">
        <v>14.47</v>
      </c>
      <c r="D225" s="35" t="s">
        <v>40</v>
      </c>
      <c r="E225" s="39">
        <v>114559.469</v>
      </c>
      <c r="F225" s="35">
        <v>-4123.79</v>
      </c>
    </row>
    <row r="227" spans="1:6" x14ac:dyDescent="0.25">
      <c r="A227" s="48" t="s">
        <v>206</v>
      </c>
      <c r="D227" s="35" t="s">
        <v>40</v>
      </c>
      <c r="E227" s="39">
        <v>114559.469</v>
      </c>
      <c r="F227" s="35">
        <v>-4123.79</v>
      </c>
    </row>
    <row r="228" spans="1:6" x14ac:dyDescent="0.25">
      <c r="A228" s="45" t="s">
        <v>181</v>
      </c>
      <c r="B228" s="27">
        <f>E229-E227</f>
        <v>-35.353999999992084</v>
      </c>
      <c r="C228" s="27">
        <f>F229-F227</f>
        <v>-10.951000000000022</v>
      </c>
    </row>
    <row r="229" spans="1:6" x14ac:dyDescent="0.25">
      <c r="A229" s="18">
        <v>37.01</v>
      </c>
      <c r="D229" s="35" t="s">
        <v>23</v>
      </c>
      <c r="E229" s="39">
        <v>114524.11500000001</v>
      </c>
      <c r="F229" s="39">
        <v>-4134.741</v>
      </c>
    </row>
    <row r="233" spans="1:6" x14ac:dyDescent="0.25">
      <c r="A233" s="48" t="s">
        <v>237</v>
      </c>
      <c r="D233" s="35" t="s">
        <v>51</v>
      </c>
      <c r="E233" s="39">
        <v>114566.8</v>
      </c>
      <c r="F233" s="39">
        <v>-4039.7260000000001</v>
      </c>
    </row>
    <row r="234" spans="1:6" x14ac:dyDescent="0.25">
      <c r="A234" s="45" t="s">
        <v>181</v>
      </c>
      <c r="B234" s="39">
        <f>E235-E233</f>
        <v>-4.2980000000097789</v>
      </c>
      <c r="C234" s="39">
        <f>F235-F233</f>
        <v>-1.3319999999998799</v>
      </c>
      <c r="D234" s="35"/>
      <c r="E234" s="39"/>
      <c r="F234" s="39"/>
    </row>
    <row r="235" spans="1:6" x14ac:dyDescent="0.25">
      <c r="A235" s="39">
        <v>4.5</v>
      </c>
      <c r="B235" s="35"/>
      <c r="C235" s="35"/>
      <c r="D235" s="35" t="s">
        <v>203</v>
      </c>
      <c r="E235" s="39">
        <v>114562.50199999999</v>
      </c>
      <c r="F235" s="39">
        <v>-4041.058</v>
      </c>
    </row>
    <row r="237" spans="1:6" x14ac:dyDescent="0.25">
      <c r="A237" s="48" t="s">
        <v>224</v>
      </c>
      <c r="D237" s="35" t="s">
        <v>203</v>
      </c>
      <c r="E237" s="39">
        <v>114562.50199999999</v>
      </c>
      <c r="F237" s="39">
        <v>-4041.058</v>
      </c>
    </row>
    <row r="238" spans="1:6" x14ac:dyDescent="0.25">
      <c r="A238" s="45" t="s">
        <v>212</v>
      </c>
      <c r="B238" s="39">
        <f>E239-E237</f>
        <v>-26.756999999997788</v>
      </c>
      <c r="C238" s="39">
        <f>F239-F237</f>
        <v>-8.2880000000000109</v>
      </c>
      <c r="D238" s="35"/>
      <c r="E238" s="39"/>
      <c r="F238" s="39"/>
    </row>
    <row r="239" spans="1:6" x14ac:dyDescent="0.25">
      <c r="A239" s="39">
        <v>28.01</v>
      </c>
      <c r="B239" s="35"/>
      <c r="C239" s="35"/>
      <c r="D239" s="35" t="s">
        <v>35</v>
      </c>
      <c r="E239" s="39">
        <v>114535.745</v>
      </c>
      <c r="F239" s="39">
        <v>-4049.346</v>
      </c>
    </row>
    <row r="241" spans="1:6" x14ac:dyDescent="0.25">
      <c r="A241" s="48" t="s">
        <v>225</v>
      </c>
      <c r="D241" s="35" t="s">
        <v>35</v>
      </c>
      <c r="E241" s="39">
        <v>114535.745</v>
      </c>
      <c r="F241" s="39">
        <v>-4049.346</v>
      </c>
    </row>
    <row r="242" spans="1:6" x14ac:dyDescent="0.25">
      <c r="A242" s="45" t="s">
        <v>182</v>
      </c>
      <c r="B242" s="39">
        <f>E243-E241</f>
        <v>4.8210000000108266</v>
      </c>
      <c r="C242" s="39">
        <f>F243-F241</f>
        <v>-15.126999999999953</v>
      </c>
      <c r="D242" s="35"/>
      <c r="E242" s="39"/>
      <c r="F242" s="39"/>
    </row>
    <row r="243" spans="1:6" x14ac:dyDescent="0.25">
      <c r="A243" s="39">
        <v>15.88</v>
      </c>
      <c r="B243" s="35"/>
      <c r="C243" s="35"/>
      <c r="D243" s="35" t="s">
        <v>36</v>
      </c>
      <c r="E243" s="39">
        <v>114540.56600000001</v>
      </c>
      <c r="F243" s="39">
        <v>-4064.473</v>
      </c>
    </row>
    <row r="245" spans="1:6" x14ac:dyDescent="0.25">
      <c r="A245" s="48" t="s">
        <v>226</v>
      </c>
      <c r="D245" s="35" t="s">
        <v>36</v>
      </c>
      <c r="E245" s="39">
        <v>114540.56600000001</v>
      </c>
      <c r="F245" s="39">
        <v>-4064.473</v>
      </c>
    </row>
    <row r="246" spans="1:6" x14ac:dyDescent="0.25">
      <c r="A246" s="45" t="s">
        <v>182</v>
      </c>
      <c r="B246" s="39">
        <f>E247-E245</f>
        <v>4.7249999999912689</v>
      </c>
      <c r="C246" s="39">
        <f>F247-F245</f>
        <v>-14.826000000000022</v>
      </c>
      <c r="D246" s="35"/>
      <c r="E246" s="39"/>
      <c r="F246" s="39"/>
    </row>
    <row r="247" spans="1:6" x14ac:dyDescent="0.25">
      <c r="A247" s="39">
        <v>15.56</v>
      </c>
      <c r="B247" s="35"/>
      <c r="C247" s="35"/>
      <c r="D247" s="35" t="s">
        <v>37</v>
      </c>
      <c r="E247" s="39">
        <v>114545.291</v>
      </c>
      <c r="F247" s="39">
        <v>-4079.299</v>
      </c>
    </row>
    <row r="248" spans="1:6" x14ac:dyDescent="0.25">
      <c r="A248" s="39"/>
      <c r="B248" s="35"/>
      <c r="C248" s="35"/>
      <c r="D248" s="35"/>
      <c r="E248" s="39"/>
      <c r="F248" s="39"/>
    </row>
    <row r="249" spans="1:6" x14ac:dyDescent="0.25">
      <c r="A249" s="66" t="s">
        <v>227</v>
      </c>
      <c r="B249" s="35"/>
      <c r="C249" s="35"/>
      <c r="D249" s="35" t="s">
        <v>37</v>
      </c>
      <c r="E249" s="39">
        <v>114545.291</v>
      </c>
      <c r="F249" s="39">
        <v>-4079.299</v>
      </c>
    </row>
    <row r="250" spans="1:6" x14ac:dyDescent="0.25">
      <c r="A250" s="45" t="s">
        <v>182</v>
      </c>
      <c r="B250" s="39">
        <f>E251-E249</f>
        <v>4.7240000000019791</v>
      </c>
      <c r="C250" s="39">
        <f>F251-F249</f>
        <v>-14.824999999999818</v>
      </c>
      <c r="D250" s="35"/>
      <c r="E250" s="39"/>
      <c r="F250" s="39"/>
    </row>
    <row r="251" spans="1:6" x14ac:dyDescent="0.25">
      <c r="A251" s="39">
        <v>15.56</v>
      </c>
      <c r="B251" s="35"/>
      <c r="C251" s="35"/>
      <c r="D251" s="35" t="s">
        <v>38</v>
      </c>
      <c r="E251" s="39">
        <v>114550.015</v>
      </c>
      <c r="F251" s="39">
        <v>-4094.1239999999998</v>
      </c>
    </row>
    <row r="253" spans="1:6" x14ac:dyDescent="0.25">
      <c r="A253" s="48" t="s">
        <v>228</v>
      </c>
      <c r="D253" s="35" t="s">
        <v>38</v>
      </c>
      <c r="E253" s="39">
        <v>114550.015</v>
      </c>
      <c r="F253" s="39">
        <v>-4094.1239999999998</v>
      </c>
    </row>
    <row r="254" spans="1:6" x14ac:dyDescent="0.25">
      <c r="A254" s="45" t="s">
        <v>182</v>
      </c>
      <c r="B254" s="35">
        <f>E255-E253</f>
        <v>5.05899999999383</v>
      </c>
      <c r="C254" s="35">
        <f>F255-F253</f>
        <v>-15.873999999999796</v>
      </c>
      <c r="D254" s="35"/>
      <c r="E254" s="39"/>
      <c r="F254" s="35"/>
    </row>
    <row r="255" spans="1:6" x14ac:dyDescent="0.25">
      <c r="A255" s="39">
        <v>16.66</v>
      </c>
      <c r="B255" s="35"/>
      <c r="C255" s="35"/>
      <c r="D255" s="35" t="s">
        <v>39</v>
      </c>
      <c r="E255" s="39">
        <v>114555.07399999999</v>
      </c>
      <c r="F255" s="39">
        <v>-4109.9979999999996</v>
      </c>
    </row>
    <row r="257" spans="1:6" x14ac:dyDescent="0.25">
      <c r="A257" s="48" t="s">
        <v>314</v>
      </c>
      <c r="D257" s="35" t="s">
        <v>39</v>
      </c>
      <c r="E257" s="39">
        <v>114555.07399999999</v>
      </c>
      <c r="F257" s="39">
        <v>-4109.9979999999996</v>
      </c>
    </row>
    <row r="258" spans="1:6" x14ac:dyDescent="0.25">
      <c r="A258" s="45" t="s">
        <v>182</v>
      </c>
      <c r="B258" s="27">
        <f>E259-E257</f>
        <v>4.3950000000040745</v>
      </c>
      <c r="C258" s="27">
        <f>F259-F257</f>
        <v>-13.792000000000371</v>
      </c>
    </row>
    <row r="259" spans="1:6" x14ac:dyDescent="0.25">
      <c r="A259" s="18">
        <v>14.47</v>
      </c>
      <c r="D259" s="35" t="s">
        <v>40</v>
      </c>
      <c r="E259" s="39">
        <v>114559.469</v>
      </c>
      <c r="F259" s="35">
        <v>-4123.79</v>
      </c>
    </row>
    <row r="261" spans="1:6" x14ac:dyDescent="0.25">
      <c r="A261" s="48" t="s">
        <v>315</v>
      </c>
      <c r="D261" s="35" t="s">
        <v>40</v>
      </c>
      <c r="E261" s="39">
        <v>114559.469</v>
      </c>
      <c r="F261" s="35">
        <v>-4123.79</v>
      </c>
    </row>
    <row r="262" spans="1:6" x14ac:dyDescent="0.25">
      <c r="A262" s="45" t="s">
        <v>212</v>
      </c>
      <c r="B262" s="27">
        <f>E263-E261</f>
        <v>35.354000000006636</v>
      </c>
      <c r="C262" s="27">
        <f>F263-F261</f>
        <v>10.952000000000226</v>
      </c>
    </row>
    <row r="263" spans="1:6" x14ac:dyDescent="0.25">
      <c r="A263" s="39">
        <v>37.01</v>
      </c>
      <c r="D263" s="35" t="s">
        <v>64</v>
      </c>
      <c r="E263" s="39">
        <v>114594.823</v>
      </c>
      <c r="F263" s="35">
        <v>-4112.8379999999997</v>
      </c>
    </row>
    <row r="265" spans="1:6" x14ac:dyDescent="0.25">
      <c r="A265" s="48" t="s">
        <v>316</v>
      </c>
      <c r="D265" s="35" t="s">
        <v>64</v>
      </c>
      <c r="E265" s="39">
        <v>114594.823</v>
      </c>
      <c r="F265" s="35">
        <v>-4112.8379999999997</v>
      </c>
    </row>
    <row r="266" spans="1:6" x14ac:dyDescent="0.25">
      <c r="A266" s="45" t="s">
        <v>179</v>
      </c>
      <c r="B266" s="27">
        <f>E267-E265</f>
        <v>-3.3830000000016298</v>
      </c>
      <c r="C266" s="27">
        <f>F267-F265</f>
        <v>10.60399999999936</v>
      </c>
    </row>
    <row r="267" spans="1:6" x14ac:dyDescent="0.25">
      <c r="A267" s="18">
        <v>11.13</v>
      </c>
      <c r="D267" s="35" t="s">
        <v>63</v>
      </c>
      <c r="E267" s="39">
        <v>114591.44</v>
      </c>
      <c r="F267" s="39">
        <v>-4102.2340000000004</v>
      </c>
    </row>
    <row r="269" spans="1:6" x14ac:dyDescent="0.25">
      <c r="A269" s="48" t="s">
        <v>317</v>
      </c>
      <c r="D269" s="35" t="s">
        <v>63</v>
      </c>
      <c r="E269" s="39">
        <v>114591.44</v>
      </c>
      <c r="F269" s="39">
        <v>-4102.2340000000004</v>
      </c>
    </row>
    <row r="270" spans="1:6" x14ac:dyDescent="0.25">
      <c r="A270" s="45" t="s">
        <v>181</v>
      </c>
      <c r="B270" s="27">
        <f>E271-E269</f>
        <v>-8.5939999999973224</v>
      </c>
      <c r="C270" s="27">
        <f>F271-F269</f>
        <v>-2.6629999999995562</v>
      </c>
    </row>
    <row r="271" spans="1:6" x14ac:dyDescent="0.25">
      <c r="A271" s="27">
        <v>9</v>
      </c>
      <c r="D271" s="35" t="s">
        <v>41</v>
      </c>
      <c r="E271" s="39">
        <v>114582.84600000001</v>
      </c>
      <c r="F271" s="39">
        <v>-4104.8969999999999</v>
      </c>
    </row>
    <row r="273" spans="1:6" x14ac:dyDescent="0.25">
      <c r="A273" s="48" t="s">
        <v>318</v>
      </c>
      <c r="D273" s="35" t="s">
        <v>41</v>
      </c>
      <c r="E273" s="39">
        <v>114582.84600000001</v>
      </c>
      <c r="F273" s="39">
        <v>-4104.8969999999999</v>
      </c>
    </row>
    <row r="274" spans="1:6" x14ac:dyDescent="0.25">
      <c r="A274" s="45" t="s">
        <v>179</v>
      </c>
      <c r="B274" s="27">
        <f>E275-E273</f>
        <v>-1.0149999999994179</v>
      </c>
      <c r="C274" s="27">
        <f>F275-F273</f>
        <v>3.1869999999998981</v>
      </c>
    </row>
    <row r="275" spans="1:6" x14ac:dyDescent="0.25">
      <c r="A275" s="18">
        <v>3.34</v>
      </c>
      <c r="D275" s="35" t="s">
        <v>42</v>
      </c>
      <c r="E275" s="39">
        <v>114581.83100000001</v>
      </c>
      <c r="F275" s="39">
        <v>-4101.71</v>
      </c>
    </row>
    <row r="277" spans="1:6" x14ac:dyDescent="0.25">
      <c r="A277" s="48" t="s">
        <v>230</v>
      </c>
      <c r="D277" s="35" t="s">
        <v>42</v>
      </c>
      <c r="E277" s="39">
        <v>114581.83100000001</v>
      </c>
      <c r="F277" s="39">
        <v>-4101.71</v>
      </c>
    </row>
    <row r="278" spans="1:6" x14ac:dyDescent="0.25">
      <c r="A278" s="45" t="s">
        <v>179</v>
      </c>
      <c r="B278" s="39">
        <f>E279-E277</f>
        <v>-1.7060000000055879</v>
      </c>
      <c r="C278" s="39">
        <f>F279-F277</f>
        <v>5.3540000000002692</v>
      </c>
      <c r="D278" s="35"/>
      <c r="E278" s="39"/>
      <c r="F278" s="39"/>
    </row>
    <row r="279" spans="1:6" x14ac:dyDescent="0.25">
      <c r="A279" s="39">
        <v>5.62</v>
      </c>
      <c r="B279" s="35"/>
      <c r="C279" s="35"/>
      <c r="D279" s="35" t="s">
        <v>203</v>
      </c>
      <c r="E279" s="39">
        <v>114580.125</v>
      </c>
      <c r="F279" s="39">
        <v>-4096.3559999999998</v>
      </c>
    </row>
    <row r="281" spans="1:6" x14ac:dyDescent="0.25">
      <c r="A281" s="48" t="s">
        <v>229</v>
      </c>
      <c r="D281" s="35" t="s">
        <v>203</v>
      </c>
      <c r="E281" s="39">
        <v>114580.125</v>
      </c>
      <c r="F281" s="39">
        <v>-4096.3559999999998</v>
      </c>
    </row>
    <row r="282" spans="1:6" x14ac:dyDescent="0.25">
      <c r="A282" s="45" t="s">
        <v>212</v>
      </c>
      <c r="B282" s="39">
        <f>E283-E281</f>
        <v>4.2949999999982538</v>
      </c>
      <c r="C282" s="39">
        <f>F283-F281</f>
        <v>1.3459999999995489</v>
      </c>
      <c r="D282" s="35"/>
      <c r="E282" s="39"/>
      <c r="F282" s="39"/>
    </row>
    <row r="283" spans="1:6" x14ac:dyDescent="0.25">
      <c r="A283" s="39">
        <v>4.5</v>
      </c>
      <c r="B283" s="35"/>
      <c r="C283" s="35"/>
      <c r="D283" s="35" t="s">
        <v>45</v>
      </c>
      <c r="E283" s="39">
        <v>114584.42</v>
      </c>
      <c r="F283" s="39">
        <v>-4095.01</v>
      </c>
    </row>
    <row r="285" spans="1:6" x14ac:dyDescent="0.25">
      <c r="A285" s="48" t="s">
        <v>231</v>
      </c>
      <c r="D285" s="35" t="s">
        <v>45</v>
      </c>
      <c r="E285" s="39">
        <v>114584.41</v>
      </c>
      <c r="F285" s="39">
        <v>-4095.01</v>
      </c>
    </row>
    <row r="286" spans="1:6" x14ac:dyDescent="0.25">
      <c r="A286" s="45" t="s">
        <v>179</v>
      </c>
      <c r="B286" s="39">
        <f>E287-E285</f>
        <v>-1.364000000001397</v>
      </c>
      <c r="C286" s="39">
        <f>F287-F285</f>
        <v>4.3079999999999927</v>
      </c>
      <c r="D286" s="35"/>
      <c r="E286" s="39"/>
      <c r="F286" s="39"/>
    </row>
    <row r="287" spans="1:6" x14ac:dyDescent="0.25">
      <c r="A287" s="39">
        <v>4.5</v>
      </c>
      <c r="B287" s="35"/>
      <c r="C287" s="35"/>
      <c r="D287" s="35" t="s">
        <v>200</v>
      </c>
      <c r="E287" s="39">
        <v>114583.046</v>
      </c>
      <c r="F287" s="39">
        <v>-4090.7020000000002</v>
      </c>
    </row>
    <row r="289" spans="1:6" x14ac:dyDescent="0.25">
      <c r="A289" s="48" t="s">
        <v>232</v>
      </c>
      <c r="D289" s="35" t="s">
        <v>200</v>
      </c>
      <c r="E289" s="39">
        <v>114583.046</v>
      </c>
      <c r="F289" s="39">
        <v>-4090.7020000000002</v>
      </c>
    </row>
    <row r="290" spans="1:6" x14ac:dyDescent="0.25">
      <c r="A290" s="45" t="s">
        <v>179</v>
      </c>
      <c r="B290" s="39">
        <f>E291-E289</f>
        <v>-1.9750000000058208</v>
      </c>
      <c r="C290" s="39">
        <f>F291-F289</f>
        <v>6.1970000000001164</v>
      </c>
      <c r="D290" s="35"/>
      <c r="E290" s="39"/>
      <c r="F290" s="39"/>
    </row>
    <row r="291" spans="1:6" x14ac:dyDescent="0.25">
      <c r="A291" s="39">
        <v>6.5039999999999996</v>
      </c>
      <c r="B291" s="35"/>
      <c r="C291" s="35"/>
      <c r="D291" s="35" t="s">
        <v>46</v>
      </c>
      <c r="E291" s="39">
        <v>114581.071</v>
      </c>
      <c r="F291" s="39">
        <v>-4084.5050000000001</v>
      </c>
    </row>
    <row r="293" spans="1:6" x14ac:dyDescent="0.25">
      <c r="A293" s="48" t="s">
        <v>233</v>
      </c>
      <c r="D293" s="35" t="s">
        <v>46</v>
      </c>
      <c r="E293" s="39">
        <v>114581.071</v>
      </c>
      <c r="F293" s="39">
        <v>-4084.5050000000001</v>
      </c>
    </row>
    <row r="294" spans="1:6" x14ac:dyDescent="0.25">
      <c r="A294" s="45" t="s">
        <v>179</v>
      </c>
      <c r="B294" s="39">
        <f>E295-E293</f>
        <v>-4.7249999999912689</v>
      </c>
      <c r="C294" s="39">
        <f>F295-F293</f>
        <v>14.826000000000022</v>
      </c>
      <c r="D294" s="35"/>
      <c r="E294" s="39"/>
      <c r="F294" s="39"/>
    </row>
    <row r="295" spans="1:6" x14ac:dyDescent="0.25">
      <c r="A295" s="39">
        <v>15.56</v>
      </c>
      <c r="B295" s="35"/>
      <c r="C295" s="35"/>
      <c r="D295" s="35" t="s">
        <v>47</v>
      </c>
      <c r="E295" s="39">
        <v>114576.34600000001</v>
      </c>
      <c r="F295" s="39">
        <v>-4069.6790000000001</v>
      </c>
    </row>
    <row r="297" spans="1:6" x14ac:dyDescent="0.25">
      <c r="A297" s="48" t="s">
        <v>234</v>
      </c>
      <c r="D297" s="35" t="s">
        <v>47</v>
      </c>
      <c r="E297" s="39">
        <v>114576.34600000001</v>
      </c>
      <c r="F297" s="39">
        <v>-4069.6790000000001</v>
      </c>
    </row>
    <row r="298" spans="1:6" x14ac:dyDescent="0.25">
      <c r="A298" s="45" t="s">
        <v>179</v>
      </c>
      <c r="B298" s="39">
        <f>E299-E297</f>
        <v>-4.7250000000058208</v>
      </c>
      <c r="C298" s="39">
        <f>F299-F297</f>
        <v>14.826000000000022</v>
      </c>
      <c r="D298" s="35"/>
      <c r="E298" s="39"/>
      <c r="F298" s="39"/>
    </row>
    <row r="299" spans="1:6" x14ac:dyDescent="0.25">
      <c r="A299" s="39">
        <v>15.56</v>
      </c>
      <c r="B299" s="35"/>
      <c r="C299" s="35"/>
      <c r="D299" s="35" t="s">
        <v>48</v>
      </c>
      <c r="E299" s="39">
        <v>114571.621</v>
      </c>
      <c r="F299" s="39">
        <v>-4054.8530000000001</v>
      </c>
    </row>
    <row r="301" spans="1:6" x14ac:dyDescent="0.25">
      <c r="A301" s="48" t="s">
        <v>235</v>
      </c>
      <c r="D301" s="35" t="s">
        <v>48</v>
      </c>
      <c r="E301" s="39">
        <v>114571.621</v>
      </c>
      <c r="F301" s="39">
        <v>-4054.8530000000001</v>
      </c>
    </row>
    <row r="302" spans="1:6" x14ac:dyDescent="0.25">
      <c r="A302" s="45" t="s">
        <v>179</v>
      </c>
      <c r="B302" s="39">
        <f>E303-E301</f>
        <v>-3.4539999999979045</v>
      </c>
      <c r="C302" s="39">
        <f>F303-F301</f>
        <v>10.838999999999942</v>
      </c>
      <c r="D302" s="35"/>
      <c r="E302" s="39"/>
      <c r="F302" s="39"/>
    </row>
    <row r="303" spans="1:6" x14ac:dyDescent="0.25">
      <c r="A303" s="39">
        <v>11.38</v>
      </c>
      <c r="B303" s="35"/>
      <c r="C303" s="35"/>
      <c r="D303" s="35" t="s">
        <v>200</v>
      </c>
      <c r="E303" s="39">
        <v>114568.167</v>
      </c>
      <c r="F303" s="39">
        <v>-4044.0140000000001</v>
      </c>
    </row>
    <row r="305" spans="1:6" x14ac:dyDescent="0.25">
      <c r="A305" s="48" t="s">
        <v>236</v>
      </c>
      <c r="D305" s="35" t="s">
        <v>200</v>
      </c>
      <c r="E305" s="39">
        <v>114568.167</v>
      </c>
      <c r="F305" s="39">
        <v>-4044.0140000000001</v>
      </c>
    </row>
    <row r="306" spans="1:6" x14ac:dyDescent="0.25">
      <c r="A306" s="45" t="s">
        <v>179</v>
      </c>
      <c r="B306" s="39">
        <f>E307-E305</f>
        <v>-1.3669999999983702</v>
      </c>
      <c r="C306" s="39">
        <f>F307-F305</f>
        <v>4.2880000000000109</v>
      </c>
      <c r="D306" s="35"/>
      <c r="E306" s="39"/>
      <c r="F306" s="39"/>
    </row>
    <row r="307" spans="1:6" x14ac:dyDescent="0.25">
      <c r="A307" s="39">
        <v>4.5</v>
      </c>
      <c r="B307" s="35"/>
      <c r="C307" s="35"/>
      <c r="D307" s="35" t="s">
        <v>51</v>
      </c>
      <c r="E307" s="39">
        <v>114566.8</v>
      </c>
      <c r="F307" s="39">
        <v>-4039.7260000000001</v>
      </c>
    </row>
    <row r="311" spans="1:6" x14ac:dyDescent="0.25">
      <c r="A311" s="48" t="s">
        <v>316</v>
      </c>
      <c r="D311" s="35" t="s">
        <v>64</v>
      </c>
      <c r="E311" s="39">
        <v>114594.823</v>
      </c>
      <c r="F311" s="35">
        <v>-4112.8379999999997</v>
      </c>
    </row>
    <row r="312" spans="1:6" x14ac:dyDescent="0.25">
      <c r="A312" s="45" t="s">
        <v>179</v>
      </c>
      <c r="B312" s="27">
        <f>E313-E311</f>
        <v>-3.3830000000016298</v>
      </c>
      <c r="C312" s="27">
        <f>F313-F311</f>
        <v>10.60399999999936</v>
      </c>
    </row>
    <row r="313" spans="1:6" x14ac:dyDescent="0.25">
      <c r="A313" s="18">
        <v>11.13</v>
      </c>
      <c r="D313" s="35" t="s">
        <v>63</v>
      </c>
      <c r="E313" s="39">
        <v>114591.44</v>
      </c>
      <c r="F313" s="39">
        <v>-4102.2340000000004</v>
      </c>
    </row>
    <row r="315" spans="1:6" x14ac:dyDescent="0.25">
      <c r="A315" s="48" t="s">
        <v>238</v>
      </c>
      <c r="D315" s="35" t="s">
        <v>63</v>
      </c>
      <c r="E315" s="39">
        <v>114591.44</v>
      </c>
      <c r="F315" s="39">
        <v>-4102.2340000000004</v>
      </c>
    </row>
    <row r="316" spans="1:6" x14ac:dyDescent="0.25">
      <c r="A316" s="45" t="s">
        <v>212</v>
      </c>
      <c r="B316" s="27">
        <f>E317-E315</f>
        <v>8.6009999999951106</v>
      </c>
      <c r="C316" s="27">
        <f>F317-F315</f>
        <v>2.6630000000004657</v>
      </c>
    </row>
    <row r="317" spans="1:6" x14ac:dyDescent="0.25">
      <c r="A317" s="27">
        <v>9</v>
      </c>
      <c r="D317" s="35" t="s">
        <v>62</v>
      </c>
      <c r="E317" s="39">
        <v>114600.041</v>
      </c>
      <c r="F317" s="39">
        <v>-4099.5709999999999</v>
      </c>
    </row>
    <row r="319" spans="1:6" x14ac:dyDescent="0.25">
      <c r="A319" s="48" t="s">
        <v>239</v>
      </c>
      <c r="D319" s="35" t="s">
        <v>62</v>
      </c>
      <c r="E319" s="39">
        <v>114600.041</v>
      </c>
      <c r="F319" s="39">
        <v>-4099.5709999999999</v>
      </c>
    </row>
    <row r="320" spans="1:6" x14ac:dyDescent="0.25">
      <c r="A320" s="45" t="s">
        <v>179</v>
      </c>
      <c r="B320" s="39">
        <f>E321-E319</f>
        <v>-1.0160000000032596</v>
      </c>
      <c r="C320" s="39">
        <f>F321-F319</f>
        <v>3.1869999999998981</v>
      </c>
      <c r="D320" s="35"/>
      <c r="E320" s="39"/>
      <c r="F320" s="39"/>
    </row>
    <row r="321" spans="1:6" x14ac:dyDescent="0.25">
      <c r="A321" s="35">
        <v>3.34</v>
      </c>
      <c r="B321" s="35"/>
      <c r="C321" s="35"/>
      <c r="D321" s="35" t="s">
        <v>61</v>
      </c>
      <c r="E321" s="39">
        <v>114599.02499999999</v>
      </c>
      <c r="F321" s="39">
        <v>-4096.384</v>
      </c>
    </row>
    <row r="323" spans="1:6" x14ac:dyDescent="0.25">
      <c r="A323" s="48" t="s">
        <v>240</v>
      </c>
      <c r="D323" s="35" t="s">
        <v>61</v>
      </c>
      <c r="E323" s="39">
        <v>114599.02499999999</v>
      </c>
      <c r="F323" s="39">
        <v>-4096.384</v>
      </c>
    </row>
    <row r="324" spans="1:6" x14ac:dyDescent="0.25">
      <c r="A324" s="45" t="s">
        <v>179</v>
      </c>
      <c r="B324" s="39">
        <f>E325-E323</f>
        <v>-1.7279999999882421</v>
      </c>
      <c r="C324" s="39">
        <f>F325-F323</f>
        <v>5.4239999999999782</v>
      </c>
      <c r="D324" s="35"/>
      <c r="E324" s="39"/>
      <c r="F324" s="39"/>
    </row>
    <row r="325" spans="1:6" x14ac:dyDescent="0.25">
      <c r="A325" s="35">
        <v>5.6929999999999996</v>
      </c>
      <c r="B325" s="35"/>
      <c r="C325" s="35"/>
      <c r="D325" s="35" t="s">
        <v>203</v>
      </c>
      <c r="E325" s="39">
        <v>114597.29700000001</v>
      </c>
      <c r="F325" s="39">
        <v>-4090.96</v>
      </c>
    </row>
    <row r="327" spans="1:6" x14ac:dyDescent="0.25">
      <c r="A327" s="48" t="s">
        <v>241</v>
      </c>
      <c r="D327" s="35" t="s">
        <v>203</v>
      </c>
      <c r="E327" s="39">
        <v>114597.29700000001</v>
      </c>
      <c r="F327" s="39">
        <v>-4090.96</v>
      </c>
    </row>
    <row r="328" spans="1:6" x14ac:dyDescent="0.25">
      <c r="A328" s="45" t="s">
        <v>181</v>
      </c>
      <c r="B328" s="39">
        <f>E329-E327</f>
        <v>-4.2880000000004657</v>
      </c>
      <c r="C328" s="39">
        <f>F329-F327</f>
        <v>-1.3670000000001892</v>
      </c>
      <c r="D328" s="35"/>
      <c r="E328" s="39"/>
      <c r="F328" s="39"/>
    </row>
    <row r="329" spans="1:6" x14ac:dyDescent="0.25">
      <c r="A329" s="35">
        <v>4.5</v>
      </c>
      <c r="B329" s="35"/>
      <c r="C329" s="35"/>
      <c r="D329" s="35" t="s">
        <v>60</v>
      </c>
      <c r="E329" s="39">
        <v>114593.00900000001</v>
      </c>
      <c r="F329" s="39">
        <v>-4092.3270000000002</v>
      </c>
    </row>
    <row r="331" spans="1:6" x14ac:dyDescent="0.25">
      <c r="A331" s="48" t="s">
        <v>242</v>
      </c>
      <c r="D331" s="35" t="s">
        <v>60</v>
      </c>
      <c r="E331" s="39">
        <v>114593.00900000001</v>
      </c>
      <c r="F331" s="39">
        <v>-4092.3270000000002</v>
      </c>
    </row>
    <row r="332" spans="1:6" x14ac:dyDescent="0.25">
      <c r="A332" s="45" t="s">
        <v>179</v>
      </c>
      <c r="B332" s="35">
        <f>E333-E331</f>
        <v>-1.3660000000090804</v>
      </c>
      <c r="C332" s="35">
        <f>F333-F331</f>
        <v>4.2880000000000109</v>
      </c>
      <c r="D332" s="35"/>
      <c r="E332" s="39"/>
      <c r="F332" s="39"/>
    </row>
    <row r="333" spans="1:6" x14ac:dyDescent="0.25">
      <c r="A333" s="35">
        <v>4.5</v>
      </c>
      <c r="B333" s="35"/>
      <c r="C333" s="35"/>
      <c r="D333" s="35" t="s">
        <v>200</v>
      </c>
      <c r="E333" s="39">
        <v>114591.643</v>
      </c>
      <c r="F333" s="39">
        <v>-4088.0390000000002</v>
      </c>
    </row>
    <row r="335" spans="1:6" x14ac:dyDescent="0.25">
      <c r="A335" s="48" t="s">
        <v>243</v>
      </c>
      <c r="D335" s="35" t="s">
        <v>200</v>
      </c>
      <c r="E335" s="39">
        <v>114591.643</v>
      </c>
      <c r="F335" s="39">
        <v>-4088.0390000000002</v>
      </c>
    </row>
    <row r="336" spans="1:6" x14ac:dyDescent="0.25">
      <c r="A336" s="45" t="s">
        <v>179</v>
      </c>
      <c r="B336" s="39">
        <f>E337-E335</f>
        <v>-1.9749999999912689</v>
      </c>
      <c r="C336" s="39">
        <f>F337-F335</f>
        <v>6.1970000000001164</v>
      </c>
      <c r="D336" s="35"/>
      <c r="E336" s="39"/>
      <c r="F336" s="39"/>
    </row>
    <row r="337" spans="1:6" x14ac:dyDescent="0.25">
      <c r="A337" s="35">
        <v>6.5039999999999996</v>
      </c>
      <c r="B337" s="35"/>
      <c r="C337" s="35"/>
      <c r="D337" s="35" t="s">
        <v>57</v>
      </c>
      <c r="E337" s="39">
        <v>114589.66800000001</v>
      </c>
      <c r="F337" s="39">
        <v>-4081.8420000000001</v>
      </c>
    </row>
    <row r="339" spans="1:6" x14ac:dyDescent="0.25">
      <c r="A339" s="48" t="s">
        <v>244</v>
      </c>
      <c r="D339" s="35" t="s">
        <v>57</v>
      </c>
      <c r="E339" s="39">
        <v>114589.66800000001</v>
      </c>
      <c r="F339" s="39">
        <v>-4081.8420000000001</v>
      </c>
    </row>
    <row r="340" spans="1:6" x14ac:dyDescent="0.25">
      <c r="A340" s="45" t="s">
        <v>179</v>
      </c>
      <c r="B340" s="39">
        <f>E341-E339</f>
        <v>-4.7250000000058208</v>
      </c>
      <c r="C340" s="39">
        <f>F341-F339</f>
        <v>14.826000000000022</v>
      </c>
      <c r="D340" s="35"/>
      <c r="E340" s="39"/>
      <c r="F340" s="39"/>
    </row>
    <row r="341" spans="1:6" x14ac:dyDescent="0.25">
      <c r="A341" s="35">
        <v>15.56</v>
      </c>
      <c r="B341" s="35"/>
      <c r="C341" s="35"/>
      <c r="D341" s="35" t="s">
        <v>56</v>
      </c>
      <c r="E341" s="39">
        <v>114584.943</v>
      </c>
      <c r="F341" s="39">
        <v>-4067.0160000000001</v>
      </c>
    </row>
    <row r="343" spans="1:6" x14ac:dyDescent="0.25">
      <c r="A343" s="48" t="s">
        <v>245</v>
      </c>
      <c r="D343" s="35" t="s">
        <v>56</v>
      </c>
      <c r="E343" s="39">
        <v>114584.943</v>
      </c>
      <c r="F343" s="39">
        <v>-4067.0160000000001</v>
      </c>
    </row>
    <row r="344" spans="1:6" x14ac:dyDescent="0.25">
      <c r="A344" s="45" t="s">
        <v>179</v>
      </c>
      <c r="B344" s="39">
        <f>E345-E343</f>
        <v>-4.7250000000058208</v>
      </c>
      <c r="C344" s="39">
        <f>F345-F343</f>
        <v>14.826000000000022</v>
      </c>
      <c r="D344" s="35"/>
      <c r="E344" s="39"/>
      <c r="F344" s="39"/>
    </row>
    <row r="345" spans="1:6" x14ac:dyDescent="0.25">
      <c r="A345" s="35">
        <v>15.56</v>
      </c>
      <c r="B345" s="35"/>
      <c r="C345" s="35"/>
      <c r="D345" s="35" t="s">
        <v>55</v>
      </c>
      <c r="E345" s="39">
        <v>114580.21799999999</v>
      </c>
      <c r="F345" s="39">
        <v>-4052.19</v>
      </c>
    </row>
    <row r="347" spans="1:6" x14ac:dyDescent="0.25">
      <c r="A347" s="48" t="s">
        <v>246</v>
      </c>
      <c r="D347" s="35" t="s">
        <v>55</v>
      </c>
      <c r="E347" s="39">
        <v>114580.21799999999</v>
      </c>
      <c r="F347" s="39">
        <v>-4052.19</v>
      </c>
    </row>
    <row r="348" spans="1:6" x14ac:dyDescent="0.25">
      <c r="A348" s="45" t="s">
        <v>179</v>
      </c>
      <c r="B348" s="39">
        <f>E349-E347</f>
        <v>-3.4539999999979045</v>
      </c>
      <c r="C348" s="39">
        <f>F349-F347</f>
        <v>10.838999999999942</v>
      </c>
      <c r="D348" s="35"/>
      <c r="E348" s="39"/>
      <c r="F348" s="39"/>
    </row>
    <row r="349" spans="1:6" x14ac:dyDescent="0.25">
      <c r="A349" s="39">
        <v>11.377000000000001</v>
      </c>
      <c r="B349" s="35"/>
      <c r="C349" s="35"/>
      <c r="D349" s="35" t="s">
        <v>200</v>
      </c>
      <c r="E349" s="39">
        <v>114576.764</v>
      </c>
      <c r="F349" s="39">
        <v>-4041.3510000000001</v>
      </c>
    </row>
    <row r="351" spans="1:6" x14ac:dyDescent="0.25">
      <c r="A351" s="48" t="s">
        <v>247</v>
      </c>
      <c r="D351" s="35" t="s">
        <v>200</v>
      </c>
      <c r="E351" s="39">
        <v>114576.764</v>
      </c>
      <c r="F351" s="39">
        <v>-4041.3510000000001</v>
      </c>
    </row>
    <row r="352" spans="1:6" x14ac:dyDescent="0.25">
      <c r="A352" s="45" t="s">
        <v>179</v>
      </c>
      <c r="B352" s="39">
        <f>E353-E351</f>
        <v>-1.3659999999945285</v>
      </c>
      <c r="C352" s="39">
        <f>F353-F351</f>
        <v>4.2880000000000109</v>
      </c>
      <c r="D352" s="35"/>
      <c r="E352" s="39"/>
      <c r="F352" s="39"/>
    </row>
    <row r="353" spans="1:6" x14ac:dyDescent="0.25">
      <c r="A353" s="39">
        <v>4.5</v>
      </c>
      <c r="B353" s="35"/>
      <c r="C353" s="35"/>
      <c r="D353" s="35" t="s">
        <v>54</v>
      </c>
      <c r="E353" s="39">
        <v>114575.398</v>
      </c>
      <c r="F353" s="39">
        <v>-4037.0630000000001</v>
      </c>
    </row>
    <row r="355" spans="1:6" x14ac:dyDescent="0.25">
      <c r="A355" s="48" t="s">
        <v>248</v>
      </c>
      <c r="D355" s="35" t="s">
        <v>54</v>
      </c>
      <c r="E355" s="39">
        <v>114575.398</v>
      </c>
      <c r="F355" s="39">
        <v>-4037.0630000000001</v>
      </c>
    </row>
    <row r="356" spans="1:6" x14ac:dyDescent="0.25">
      <c r="A356" s="45" t="s">
        <v>212</v>
      </c>
      <c r="B356" s="39">
        <f>E357-E355</f>
        <v>4.297999999995227</v>
      </c>
      <c r="C356" s="39">
        <f>F357-F355</f>
        <v>1.331000000000131</v>
      </c>
      <c r="D356" s="35"/>
      <c r="E356" s="39"/>
      <c r="F356" s="39"/>
    </row>
    <row r="357" spans="1:6" x14ac:dyDescent="0.25">
      <c r="A357" s="39">
        <v>4.5</v>
      </c>
      <c r="B357" s="35"/>
      <c r="C357" s="35"/>
      <c r="D357" s="35" t="s">
        <v>203</v>
      </c>
      <c r="E357" s="39">
        <v>114579.696</v>
      </c>
      <c r="F357" s="39">
        <v>-4035.732</v>
      </c>
    </row>
    <row r="359" spans="1:6" x14ac:dyDescent="0.25">
      <c r="A359" s="48" t="s">
        <v>249</v>
      </c>
      <c r="D359" s="35" t="s">
        <v>203</v>
      </c>
      <c r="E359" s="39">
        <v>114579.696</v>
      </c>
      <c r="F359" s="39">
        <v>-4035.732</v>
      </c>
    </row>
    <row r="360" spans="1:6" x14ac:dyDescent="0.25">
      <c r="A360" s="45" t="s">
        <v>212</v>
      </c>
      <c r="B360" s="39">
        <f>E361-E359</f>
        <v>26.756999999997788</v>
      </c>
      <c r="C360" s="39">
        <f>F361-F359</f>
        <v>8.2880000000000109</v>
      </c>
      <c r="D360" s="35"/>
      <c r="E360" s="39"/>
      <c r="F360" s="39"/>
    </row>
    <row r="361" spans="1:6" x14ac:dyDescent="0.25">
      <c r="A361" s="35">
        <v>28.01</v>
      </c>
      <c r="B361" s="35"/>
      <c r="C361" s="35"/>
      <c r="D361" s="35" t="s">
        <v>70</v>
      </c>
      <c r="E361" s="39">
        <v>114606.45299999999</v>
      </c>
      <c r="F361" s="39">
        <v>-4027.444</v>
      </c>
    </row>
    <row r="363" spans="1:6" x14ac:dyDescent="0.25">
      <c r="A363" s="48" t="s">
        <v>250</v>
      </c>
      <c r="D363" s="35" t="s">
        <v>70</v>
      </c>
      <c r="E363" s="39">
        <v>114606.45299999999</v>
      </c>
      <c r="F363" s="39">
        <v>-4027.444</v>
      </c>
    </row>
    <row r="364" spans="1:6" x14ac:dyDescent="0.25">
      <c r="A364" s="45" t="s">
        <v>182</v>
      </c>
      <c r="B364" s="39">
        <f>E365-E363</f>
        <v>4.8210000000108266</v>
      </c>
      <c r="C364" s="39">
        <f>F365-F363</f>
        <v>-15.126999999999953</v>
      </c>
      <c r="D364" s="35"/>
      <c r="E364" s="39"/>
      <c r="F364" s="39"/>
    </row>
    <row r="365" spans="1:6" x14ac:dyDescent="0.25">
      <c r="A365" s="35">
        <v>15.88</v>
      </c>
      <c r="B365" s="35"/>
      <c r="C365" s="35"/>
      <c r="D365" s="35" t="s">
        <v>69</v>
      </c>
      <c r="E365" s="39">
        <v>114611.274</v>
      </c>
      <c r="F365" s="39">
        <v>-4042.5709999999999</v>
      </c>
    </row>
    <row r="367" spans="1:6" x14ac:dyDescent="0.25">
      <c r="A367" s="48" t="s">
        <v>251</v>
      </c>
      <c r="D367" s="35" t="s">
        <v>69</v>
      </c>
      <c r="E367" s="39">
        <v>114611.274</v>
      </c>
      <c r="F367" s="39">
        <v>-4042.5709999999999</v>
      </c>
    </row>
    <row r="368" spans="1:6" x14ac:dyDescent="0.25">
      <c r="A368" s="45" t="s">
        <v>182</v>
      </c>
      <c r="B368" s="39">
        <f>E369-E367</f>
        <v>4.7249999999912689</v>
      </c>
      <c r="C368" s="39">
        <f>F369-F367</f>
        <v>-14.826000000000022</v>
      </c>
      <c r="D368" s="35"/>
      <c r="E368" s="39"/>
      <c r="F368" s="39"/>
    </row>
    <row r="369" spans="1:6" x14ac:dyDescent="0.25">
      <c r="A369" s="35">
        <v>15.56</v>
      </c>
      <c r="B369" s="35"/>
      <c r="C369" s="35"/>
      <c r="D369" s="35" t="s">
        <v>68</v>
      </c>
      <c r="E369" s="39">
        <v>114615.999</v>
      </c>
      <c r="F369" s="39">
        <v>-4057.3969999999999</v>
      </c>
    </row>
    <row r="371" spans="1:6" x14ac:dyDescent="0.25">
      <c r="A371" s="48" t="s">
        <v>252</v>
      </c>
      <c r="D371" s="35" t="s">
        <v>68</v>
      </c>
      <c r="E371" s="39">
        <v>114615.999</v>
      </c>
      <c r="F371" s="39">
        <v>-4057.3969999999999</v>
      </c>
    </row>
    <row r="372" spans="1:6" x14ac:dyDescent="0.25">
      <c r="A372" s="45" t="s">
        <v>182</v>
      </c>
      <c r="B372" s="39">
        <f>E373-E371</f>
        <v>4.7240000000019791</v>
      </c>
      <c r="C372" s="39">
        <f>F373-F371</f>
        <v>-14.825000000000273</v>
      </c>
      <c r="D372" s="35"/>
      <c r="E372" s="39"/>
      <c r="F372" s="39"/>
    </row>
    <row r="373" spans="1:6" x14ac:dyDescent="0.25">
      <c r="A373" s="35">
        <v>15.56</v>
      </c>
      <c r="B373" s="35"/>
      <c r="C373" s="35"/>
      <c r="D373" s="35" t="s">
        <v>67</v>
      </c>
      <c r="E373" s="39">
        <v>114620.723</v>
      </c>
      <c r="F373" s="39">
        <v>-4072.2220000000002</v>
      </c>
    </row>
    <row r="375" spans="1:6" x14ac:dyDescent="0.25">
      <c r="A375" s="48" t="s">
        <v>253</v>
      </c>
      <c r="D375" s="35" t="s">
        <v>67</v>
      </c>
      <c r="E375" s="39">
        <v>114620.723</v>
      </c>
      <c r="F375" s="39">
        <v>-4072.2220000000002</v>
      </c>
    </row>
    <row r="376" spans="1:6" x14ac:dyDescent="0.25">
      <c r="A376" s="45" t="s">
        <v>182</v>
      </c>
      <c r="B376" s="39">
        <f>E377-E375</f>
        <v>5.0590000000083819</v>
      </c>
      <c r="C376" s="39">
        <f>F377-F375</f>
        <v>-15.873999999999796</v>
      </c>
      <c r="D376" s="35"/>
      <c r="E376" s="39"/>
      <c r="F376" s="39"/>
    </row>
    <row r="377" spans="1:6" x14ac:dyDescent="0.25">
      <c r="A377" s="35">
        <v>16.66</v>
      </c>
      <c r="B377" s="35"/>
      <c r="C377" s="35"/>
      <c r="D377" s="35" t="s">
        <v>66</v>
      </c>
      <c r="E377" s="39">
        <v>114625.78200000001</v>
      </c>
      <c r="F377" s="39">
        <v>-4088.096</v>
      </c>
    </row>
    <row r="379" spans="1:6" x14ac:dyDescent="0.25">
      <c r="A379" s="48" t="s">
        <v>319</v>
      </c>
      <c r="D379" s="35" t="s">
        <v>66</v>
      </c>
      <c r="E379" s="39">
        <v>114625.78200000001</v>
      </c>
      <c r="F379" s="39">
        <v>-4088.096</v>
      </c>
    </row>
    <row r="380" spans="1:6" x14ac:dyDescent="0.25">
      <c r="A380" s="45" t="s">
        <v>182</v>
      </c>
      <c r="B380" s="27">
        <f>E381-E379</f>
        <v>4.3949999999895226</v>
      </c>
      <c r="C380" s="27">
        <f>F381-F379</f>
        <v>-13.790999999999713</v>
      </c>
    </row>
    <row r="381" spans="1:6" x14ac:dyDescent="0.25">
      <c r="A381" s="18">
        <v>14.47</v>
      </c>
      <c r="D381" s="35" t="s">
        <v>65</v>
      </c>
      <c r="E381" s="39">
        <v>114630.177</v>
      </c>
      <c r="F381" s="39">
        <v>-4101.8869999999997</v>
      </c>
    </row>
    <row r="383" spans="1:6" x14ac:dyDescent="0.25">
      <c r="A383" s="48" t="s">
        <v>205</v>
      </c>
      <c r="D383" s="35" t="s">
        <v>65</v>
      </c>
      <c r="E383" s="39">
        <v>114630.177</v>
      </c>
      <c r="F383" s="39">
        <v>-4101.8869999999997</v>
      </c>
    </row>
    <row r="384" spans="1:6" x14ac:dyDescent="0.25">
      <c r="A384" s="45" t="s">
        <v>181</v>
      </c>
      <c r="B384" s="39">
        <f>E385-E383</f>
        <v>-35.353999999992084</v>
      </c>
      <c r="C384" s="39">
        <f>F385-F383</f>
        <v>-10.951000000000022</v>
      </c>
    </row>
    <row r="385" spans="1:6" x14ac:dyDescent="0.25">
      <c r="A385" s="39">
        <v>37.01</v>
      </c>
      <c r="B385" s="35"/>
      <c r="C385" s="35"/>
      <c r="D385" s="35" t="s">
        <v>64</v>
      </c>
      <c r="E385" s="39">
        <v>114594.823</v>
      </c>
      <c r="F385" s="39">
        <v>-4112.8379999999997</v>
      </c>
    </row>
    <row r="390" spans="1:6" x14ac:dyDescent="0.25">
      <c r="A390" s="48" t="s">
        <v>316</v>
      </c>
      <c r="D390" s="35" t="s">
        <v>64</v>
      </c>
      <c r="E390" s="39">
        <v>114594.823</v>
      </c>
      <c r="F390" s="39">
        <v>-4112.8379999999997</v>
      </c>
    </row>
    <row r="391" spans="1:6" x14ac:dyDescent="0.25">
      <c r="A391" s="45" t="s">
        <v>179</v>
      </c>
      <c r="B391" s="27">
        <f>E392-E390</f>
        <v>-3.3830000000016298</v>
      </c>
      <c r="C391" s="27">
        <f>F392-F390</f>
        <v>10.60399999999936</v>
      </c>
    </row>
    <row r="392" spans="1:6" x14ac:dyDescent="0.25">
      <c r="A392" s="18">
        <v>11.13</v>
      </c>
      <c r="D392" s="35" t="s">
        <v>63</v>
      </c>
      <c r="E392" s="39">
        <v>114591.44</v>
      </c>
      <c r="F392" s="39">
        <v>-4102.2340000000004</v>
      </c>
    </row>
    <row r="394" spans="1:6" x14ac:dyDescent="0.25">
      <c r="A394" s="48" t="s">
        <v>238</v>
      </c>
      <c r="D394" s="35" t="s">
        <v>63</v>
      </c>
      <c r="E394" s="39">
        <v>114591.44</v>
      </c>
      <c r="F394" s="39">
        <v>-4102.2340000000004</v>
      </c>
    </row>
    <row r="395" spans="1:6" x14ac:dyDescent="0.25">
      <c r="A395" s="45" t="s">
        <v>212</v>
      </c>
      <c r="B395" s="39">
        <f>E396-E394</f>
        <v>8.6009999999951106</v>
      </c>
      <c r="C395" s="39">
        <f>F396-F394</f>
        <v>2.6630000000004657</v>
      </c>
      <c r="D395" s="35"/>
      <c r="E395" s="39"/>
      <c r="F395" s="39"/>
    </row>
    <row r="396" spans="1:6" x14ac:dyDescent="0.25">
      <c r="A396" s="35">
        <v>9</v>
      </c>
      <c r="B396" s="35"/>
      <c r="C396" s="35"/>
      <c r="D396" s="35" t="s">
        <v>62</v>
      </c>
      <c r="E396" s="39">
        <v>114600.041</v>
      </c>
      <c r="F396" s="39">
        <v>-4099.5709999999999</v>
      </c>
    </row>
    <row r="398" spans="1:6" x14ac:dyDescent="0.25">
      <c r="A398" s="48" t="s">
        <v>239</v>
      </c>
      <c r="D398" s="35" t="s">
        <v>62</v>
      </c>
      <c r="E398" s="39">
        <v>114600.041</v>
      </c>
      <c r="F398" s="39">
        <v>-4099.5709999999999</v>
      </c>
    </row>
    <row r="399" spans="1:6" x14ac:dyDescent="0.25">
      <c r="A399" s="45" t="s">
        <v>179</v>
      </c>
      <c r="B399" s="39">
        <f>E400-E398</f>
        <v>-1.0160000000032596</v>
      </c>
      <c r="C399" s="39">
        <f>F400-F398</f>
        <v>3.1869999999998981</v>
      </c>
      <c r="D399" s="35"/>
      <c r="E399" s="39"/>
      <c r="F399" s="39"/>
    </row>
    <row r="400" spans="1:6" x14ac:dyDescent="0.25">
      <c r="A400" s="35">
        <v>3.34</v>
      </c>
      <c r="B400" s="35"/>
      <c r="C400" s="35"/>
      <c r="D400" s="35" t="s">
        <v>61</v>
      </c>
      <c r="E400" s="39">
        <v>114599.02499999999</v>
      </c>
      <c r="F400" s="39">
        <v>-4096.384</v>
      </c>
    </row>
    <row r="402" spans="1:6" x14ac:dyDescent="0.25">
      <c r="A402" s="48" t="s">
        <v>240</v>
      </c>
      <c r="D402" s="35" t="s">
        <v>61</v>
      </c>
      <c r="E402" s="39">
        <v>114599.02499999999</v>
      </c>
      <c r="F402" s="39">
        <v>-4096.384</v>
      </c>
    </row>
    <row r="403" spans="1:6" x14ac:dyDescent="0.25">
      <c r="A403" s="45" t="s">
        <v>179</v>
      </c>
      <c r="B403" s="39">
        <f>E404-E402</f>
        <v>-1.7279999999882421</v>
      </c>
      <c r="C403" s="39">
        <f>F404-F402</f>
        <v>5.4239999999999782</v>
      </c>
      <c r="D403" s="35"/>
      <c r="E403" s="39"/>
      <c r="F403" s="39"/>
    </row>
    <row r="404" spans="1:6" x14ac:dyDescent="0.25">
      <c r="A404" s="39">
        <v>5.6929999999999996</v>
      </c>
      <c r="B404" s="35"/>
      <c r="C404" s="35"/>
      <c r="D404" s="35" t="s">
        <v>203</v>
      </c>
      <c r="E404" s="39">
        <v>114597.29700000001</v>
      </c>
      <c r="F404" s="39">
        <v>-4090.96</v>
      </c>
    </row>
    <row r="406" spans="1:6" x14ac:dyDescent="0.25">
      <c r="A406" s="48" t="s">
        <v>241</v>
      </c>
      <c r="D406" s="35" t="s">
        <v>203</v>
      </c>
      <c r="E406" s="39">
        <v>114597.29700000001</v>
      </c>
      <c r="F406" s="39">
        <v>-4090.96</v>
      </c>
    </row>
    <row r="407" spans="1:6" x14ac:dyDescent="0.25">
      <c r="A407" s="45" t="s">
        <v>181</v>
      </c>
      <c r="B407" s="39">
        <f>E408-E406</f>
        <v>-4.2970000000059372</v>
      </c>
      <c r="C407" s="39">
        <f>F408-F406</f>
        <v>-1.3499999999999091</v>
      </c>
      <c r="D407" s="35"/>
      <c r="E407" s="39"/>
      <c r="F407" s="39"/>
    </row>
    <row r="408" spans="1:6" x14ac:dyDescent="0.25">
      <c r="A408" s="35">
        <v>4.5</v>
      </c>
      <c r="B408" s="35"/>
      <c r="C408" s="35"/>
      <c r="D408" s="35" t="s">
        <v>60</v>
      </c>
      <c r="E408" s="39">
        <v>114593</v>
      </c>
      <c r="F408" s="39">
        <v>-4092.31</v>
      </c>
    </row>
    <row r="410" spans="1:6" x14ac:dyDescent="0.25">
      <c r="A410" s="48" t="s">
        <v>242</v>
      </c>
      <c r="D410" s="35" t="s">
        <v>60</v>
      </c>
      <c r="E410" s="39">
        <v>114593</v>
      </c>
      <c r="F410" s="39">
        <v>-4092.31</v>
      </c>
    </row>
    <row r="411" spans="1:6" x14ac:dyDescent="0.25">
      <c r="A411" s="45" t="s">
        <v>179</v>
      </c>
      <c r="B411" s="39">
        <f>E412-E410</f>
        <v>-1.3570000000036089</v>
      </c>
      <c r="C411" s="39">
        <f>F412-F410</f>
        <v>4.2709999999997308</v>
      </c>
      <c r="D411" s="35"/>
      <c r="E411" s="39"/>
      <c r="F411" s="39"/>
    </row>
    <row r="412" spans="1:6" x14ac:dyDescent="0.25">
      <c r="A412" s="35">
        <v>4.5</v>
      </c>
      <c r="B412" s="35"/>
      <c r="C412" s="35"/>
      <c r="D412" s="35" t="s">
        <v>200</v>
      </c>
      <c r="E412" s="39">
        <v>114591.643</v>
      </c>
      <c r="F412" s="39">
        <v>-4088.0390000000002</v>
      </c>
    </row>
    <row r="414" spans="1:6" x14ac:dyDescent="0.25">
      <c r="A414" s="48" t="s">
        <v>243</v>
      </c>
      <c r="D414" s="35" t="s">
        <v>200</v>
      </c>
      <c r="E414" s="39">
        <v>114591.643</v>
      </c>
      <c r="F414" s="39">
        <v>-4088.0390000000002</v>
      </c>
    </row>
    <row r="415" spans="1:6" x14ac:dyDescent="0.25">
      <c r="A415" s="45" t="s">
        <v>179</v>
      </c>
      <c r="B415" s="39">
        <f>E416-E414</f>
        <v>-1.9749999999912689</v>
      </c>
      <c r="C415" s="39">
        <f>F416-F414</f>
        <v>6.1970000000001164</v>
      </c>
      <c r="D415" s="35"/>
      <c r="E415" s="39"/>
      <c r="F415" s="39"/>
    </row>
    <row r="416" spans="1:6" x14ac:dyDescent="0.25">
      <c r="A416" s="35">
        <v>6.5039999999999996</v>
      </c>
      <c r="B416" s="35"/>
      <c r="C416" s="35"/>
      <c r="D416" s="35" t="s">
        <v>57</v>
      </c>
      <c r="E416" s="39">
        <v>114589.66800000001</v>
      </c>
      <c r="F416" s="39">
        <v>-4081.8420000000001</v>
      </c>
    </row>
    <row r="418" spans="1:6" x14ac:dyDescent="0.25">
      <c r="A418" s="48" t="s">
        <v>244</v>
      </c>
      <c r="D418" s="35" t="s">
        <v>57</v>
      </c>
      <c r="E418" s="39">
        <v>114589.66800000001</v>
      </c>
      <c r="F418" s="39">
        <v>-4081.8420000000001</v>
      </c>
    </row>
    <row r="419" spans="1:6" x14ac:dyDescent="0.25">
      <c r="A419" s="45" t="s">
        <v>179</v>
      </c>
      <c r="B419" s="39">
        <f>E420-E418</f>
        <v>-4.7250000000058208</v>
      </c>
      <c r="C419" s="39">
        <f>F420-F418</f>
        <v>14.826000000000022</v>
      </c>
      <c r="D419" s="35"/>
      <c r="E419" s="39"/>
      <c r="F419" s="39"/>
    </row>
    <row r="420" spans="1:6" x14ac:dyDescent="0.25">
      <c r="A420" s="35">
        <v>15.56</v>
      </c>
      <c r="B420" s="35"/>
      <c r="C420" s="35"/>
      <c r="D420" s="35" t="s">
        <v>56</v>
      </c>
      <c r="E420" s="39">
        <v>114584.943</v>
      </c>
      <c r="F420" s="39">
        <v>-4067.0160000000001</v>
      </c>
    </row>
    <row r="422" spans="1:6" x14ac:dyDescent="0.25">
      <c r="A422" s="48" t="s">
        <v>245</v>
      </c>
      <c r="D422" s="35" t="s">
        <v>56</v>
      </c>
      <c r="E422" s="39">
        <v>114584.943</v>
      </c>
      <c r="F422" s="39">
        <v>-4067.0160000000001</v>
      </c>
    </row>
    <row r="423" spans="1:6" x14ac:dyDescent="0.25">
      <c r="A423" s="45" t="s">
        <v>179</v>
      </c>
      <c r="B423" s="39">
        <f>E424-E422</f>
        <v>-4.7250000000058208</v>
      </c>
      <c r="C423" s="39">
        <f>F424-F422</f>
        <v>14.826000000000022</v>
      </c>
      <c r="D423" s="35"/>
      <c r="E423" s="39"/>
      <c r="F423" s="39"/>
    </row>
    <row r="424" spans="1:6" x14ac:dyDescent="0.25">
      <c r="A424" s="35">
        <v>15.56</v>
      </c>
      <c r="B424" s="35"/>
      <c r="C424" s="35"/>
      <c r="D424" s="35" t="s">
        <v>55</v>
      </c>
      <c r="E424" s="39">
        <v>114580.21799999999</v>
      </c>
      <c r="F424" s="39">
        <v>-4052.19</v>
      </c>
    </row>
    <row r="426" spans="1:6" x14ac:dyDescent="0.25">
      <c r="A426" s="48" t="s">
        <v>246</v>
      </c>
      <c r="D426" s="35" t="s">
        <v>55</v>
      </c>
      <c r="E426" s="39">
        <v>114580.21799999999</v>
      </c>
      <c r="F426" s="39">
        <v>-4052.19</v>
      </c>
    </row>
    <row r="427" spans="1:6" x14ac:dyDescent="0.25">
      <c r="A427" s="45" t="s">
        <v>179</v>
      </c>
      <c r="B427" s="39">
        <f>E428-E426</f>
        <v>-3.4539999999979045</v>
      </c>
      <c r="C427" s="39">
        <f>F428-F426</f>
        <v>10.838999999999942</v>
      </c>
      <c r="D427" s="35"/>
      <c r="E427" s="39"/>
      <c r="F427" s="39"/>
    </row>
    <row r="428" spans="1:6" x14ac:dyDescent="0.25">
      <c r="A428" s="35">
        <v>11.377000000000001</v>
      </c>
      <c r="B428" s="35"/>
      <c r="C428" s="35"/>
      <c r="D428" s="35" t="s">
        <v>200</v>
      </c>
      <c r="E428" s="39">
        <v>114576.764</v>
      </c>
      <c r="F428" s="39">
        <v>-4041.3510000000001</v>
      </c>
    </row>
    <row r="430" spans="1:6" x14ac:dyDescent="0.25">
      <c r="A430" s="48" t="s">
        <v>247</v>
      </c>
      <c r="D430" s="35" t="s">
        <v>200</v>
      </c>
      <c r="E430" s="39">
        <v>114576.764</v>
      </c>
      <c r="F430" s="39">
        <v>-4041.3510000000001</v>
      </c>
    </row>
    <row r="431" spans="1:6" x14ac:dyDescent="0.25">
      <c r="A431" s="45" t="s">
        <v>179</v>
      </c>
      <c r="B431" s="39">
        <f>E432-E430</f>
        <v>-1.3659999999945285</v>
      </c>
      <c r="C431" s="39">
        <f>F432-F430</f>
        <v>4.2880000000000109</v>
      </c>
      <c r="D431" s="35"/>
      <c r="E431" s="39"/>
      <c r="F431" s="39"/>
    </row>
    <row r="432" spans="1:6" x14ac:dyDescent="0.25">
      <c r="A432" s="35">
        <v>4.5</v>
      </c>
      <c r="B432" s="35"/>
      <c r="C432" s="35"/>
      <c r="D432" s="35" t="s">
        <v>54</v>
      </c>
      <c r="E432" s="39">
        <v>114575.398</v>
      </c>
      <c r="F432" s="39">
        <v>-4037.0630000000001</v>
      </c>
    </row>
    <row r="434" spans="1:6" x14ac:dyDescent="0.25">
      <c r="A434" s="48" t="s">
        <v>248</v>
      </c>
      <c r="D434" s="35" t="s">
        <v>54</v>
      </c>
      <c r="E434" s="39">
        <v>114575.398</v>
      </c>
      <c r="F434" s="39">
        <v>-4037.0630000000001</v>
      </c>
    </row>
    <row r="435" spans="1:6" x14ac:dyDescent="0.25">
      <c r="A435" s="45" t="s">
        <v>212</v>
      </c>
      <c r="B435" s="39">
        <f>E436-E434</f>
        <v>4.297999999995227</v>
      </c>
      <c r="C435" s="39">
        <f>F436-F434</f>
        <v>1.331000000000131</v>
      </c>
      <c r="D435" s="35"/>
      <c r="E435" s="39"/>
      <c r="F435" s="39"/>
    </row>
    <row r="436" spans="1:6" x14ac:dyDescent="0.25">
      <c r="A436" s="35">
        <v>4.5</v>
      </c>
      <c r="B436" s="35"/>
      <c r="C436" s="35"/>
      <c r="D436" s="35" t="s">
        <v>203</v>
      </c>
      <c r="E436" s="39">
        <v>114579.696</v>
      </c>
      <c r="F436" s="39">
        <v>-4035.732</v>
      </c>
    </row>
    <row r="438" spans="1:6" x14ac:dyDescent="0.25">
      <c r="A438" s="48" t="s">
        <v>249</v>
      </c>
      <c r="D438" s="35" t="s">
        <v>203</v>
      </c>
      <c r="E438" s="39">
        <v>114579.696</v>
      </c>
      <c r="F438" s="39">
        <v>-4035.732</v>
      </c>
    </row>
    <row r="439" spans="1:6" x14ac:dyDescent="0.25">
      <c r="A439" s="45" t="s">
        <v>212</v>
      </c>
      <c r="B439" s="39">
        <f>E440-E438</f>
        <v>26.756999999997788</v>
      </c>
      <c r="C439" s="39">
        <f>F440-F438</f>
        <v>8.2880000000000109</v>
      </c>
      <c r="D439" s="35"/>
      <c r="E439" s="39"/>
      <c r="F439" s="39"/>
    </row>
    <row r="440" spans="1:6" x14ac:dyDescent="0.25">
      <c r="A440" s="35">
        <v>28.01</v>
      </c>
      <c r="B440" s="35"/>
      <c r="C440" s="35"/>
      <c r="D440" s="35" t="s">
        <v>70</v>
      </c>
      <c r="E440" s="39">
        <v>114606.45299999999</v>
      </c>
      <c r="F440" s="39">
        <v>-4027.444</v>
      </c>
    </row>
    <row r="442" spans="1:6" x14ac:dyDescent="0.25">
      <c r="A442" s="48" t="s">
        <v>250</v>
      </c>
      <c r="D442" s="35" t="s">
        <v>70</v>
      </c>
      <c r="E442" s="39">
        <v>114606.45299999999</v>
      </c>
      <c r="F442" s="39">
        <v>-4027.444</v>
      </c>
    </row>
    <row r="443" spans="1:6" x14ac:dyDescent="0.25">
      <c r="A443" s="45" t="s">
        <v>182</v>
      </c>
      <c r="B443" s="39">
        <f>E444-E442</f>
        <v>4.8210000000108266</v>
      </c>
      <c r="C443" s="39">
        <f>F444-F442</f>
        <v>-15.126999999999953</v>
      </c>
      <c r="D443" s="35"/>
      <c r="E443" s="39"/>
      <c r="F443" s="39"/>
    </row>
    <row r="444" spans="1:6" x14ac:dyDescent="0.25">
      <c r="A444" s="35">
        <v>15.88</v>
      </c>
      <c r="B444" s="35"/>
      <c r="C444" s="35"/>
      <c r="D444" s="35" t="s">
        <v>69</v>
      </c>
      <c r="E444" s="39">
        <v>114611.274</v>
      </c>
      <c r="F444" s="39">
        <v>-4042.5709999999999</v>
      </c>
    </row>
    <row r="446" spans="1:6" x14ac:dyDescent="0.25">
      <c r="A446" s="48" t="s">
        <v>251</v>
      </c>
      <c r="D446" s="35" t="s">
        <v>69</v>
      </c>
      <c r="E446" s="39">
        <v>114611.274</v>
      </c>
      <c r="F446" s="39">
        <v>-4042.5709999999999</v>
      </c>
    </row>
    <row r="447" spans="1:6" x14ac:dyDescent="0.25">
      <c r="A447" s="45" t="s">
        <v>182</v>
      </c>
      <c r="B447" s="39">
        <f>E448-E446</f>
        <v>4.7249999999912689</v>
      </c>
      <c r="C447" s="39">
        <f>F448-F446</f>
        <v>-14.826000000000022</v>
      </c>
      <c r="D447" s="35"/>
      <c r="E447" s="39"/>
      <c r="F447" s="39"/>
    </row>
    <row r="448" spans="1:6" x14ac:dyDescent="0.25">
      <c r="A448" s="35">
        <v>15.56</v>
      </c>
      <c r="B448" s="35"/>
      <c r="C448" s="35"/>
      <c r="D448" s="35" t="s">
        <v>68</v>
      </c>
      <c r="E448" s="39">
        <v>114615.999</v>
      </c>
      <c r="F448" s="39">
        <v>-4057.3969999999999</v>
      </c>
    </row>
    <row r="450" spans="1:6" x14ac:dyDescent="0.25">
      <c r="A450" s="48" t="s">
        <v>252</v>
      </c>
      <c r="D450" s="35" t="s">
        <v>68</v>
      </c>
      <c r="E450" s="39">
        <v>114615.999</v>
      </c>
      <c r="F450" s="39">
        <v>-4057.3969999999999</v>
      </c>
    </row>
    <row r="451" spans="1:6" x14ac:dyDescent="0.25">
      <c r="A451" s="45" t="s">
        <v>182</v>
      </c>
      <c r="B451" s="39">
        <f>E452-E450</f>
        <v>4.7240000000019791</v>
      </c>
      <c r="C451" s="39">
        <f>F452-F450</f>
        <v>-14.825000000000273</v>
      </c>
      <c r="D451" s="35"/>
      <c r="E451" s="39"/>
      <c r="F451" s="39"/>
    </row>
    <row r="452" spans="1:6" x14ac:dyDescent="0.25">
      <c r="A452" s="35">
        <v>15.56</v>
      </c>
      <c r="B452" s="35"/>
      <c r="C452" s="35"/>
      <c r="D452" s="35" t="s">
        <v>67</v>
      </c>
      <c r="E452" s="39">
        <v>114620.723</v>
      </c>
      <c r="F452" s="39">
        <v>-4072.2220000000002</v>
      </c>
    </row>
    <row r="454" spans="1:6" x14ac:dyDescent="0.25">
      <c r="A454" s="48" t="s">
        <v>253</v>
      </c>
      <c r="D454" s="35" t="s">
        <v>67</v>
      </c>
      <c r="E454" s="39">
        <v>114620.723</v>
      </c>
      <c r="F454" s="39">
        <v>-4072.2220000000002</v>
      </c>
    </row>
    <row r="455" spans="1:6" x14ac:dyDescent="0.25">
      <c r="A455" s="45" t="s">
        <v>182</v>
      </c>
      <c r="B455" s="39">
        <f>E456-E454</f>
        <v>5.0590000000083819</v>
      </c>
      <c r="C455" s="39">
        <f>F456-F454</f>
        <v>-15.873999999999796</v>
      </c>
      <c r="D455" s="35"/>
      <c r="E455" s="39"/>
      <c r="F455" s="39"/>
    </row>
    <row r="456" spans="1:6" x14ac:dyDescent="0.25">
      <c r="A456" s="35">
        <v>16.66</v>
      </c>
      <c r="B456" s="35"/>
      <c r="C456" s="35"/>
      <c r="D456" s="35" t="s">
        <v>66</v>
      </c>
      <c r="E456" s="39">
        <v>114625.78200000001</v>
      </c>
      <c r="F456" s="39">
        <v>-4088.096</v>
      </c>
    </row>
    <row r="458" spans="1:6" x14ac:dyDescent="0.25">
      <c r="A458" s="48" t="s">
        <v>319</v>
      </c>
      <c r="D458" s="35" t="s">
        <v>66</v>
      </c>
      <c r="E458" s="39">
        <v>114625.78200000001</v>
      </c>
      <c r="F458" s="39">
        <v>-4088.096</v>
      </c>
    </row>
    <row r="459" spans="1:6" x14ac:dyDescent="0.25">
      <c r="A459" s="45" t="s">
        <v>182</v>
      </c>
      <c r="B459" s="27">
        <f>E460-E458</f>
        <v>4.3949999999895226</v>
      </c>
      <c r="C459" s="27">
        <f>F460-F458</f>
        <v>-13.790999999999713</v>
      </c>
    </row>
    <row r="460" spans="1:6" x14ac:dyDescent="0.25">
      <c r="A460" s="18">
        <v>14.47</v>
      </c>
      <c r="D460" s="35" t="s">
        <v>65</v>
      </c>
      <c r="E460" s="39">
        <v>114630.177</v>
      </c>
      <c r="F460" s="39">
        <v>-4101.8869999999997</v>
      </c>
    </row>
    <row r="462" spans="1:6" x14ac:dyDescent="0.25">
      <c r="A462" s="48" t="s">
        <v>205</v>
      </c>
      <c r="D462" s="35" t="s">
        <v>65</v>
      </c>
      <c r="E462" s="39">
        <v>114630.177</v>
      </c>
      <c r="F462" s="39">
        <v>-4101.8869999999997</v>
      </c>
    </row>
    <row r="463" spans="1:6" x14ac:dyDescent="0.25">
      <c r="A463" s="45" t="s">
        <v>181</v>
      </c>
      <c r="B463" s="39">
        <f>E464-E462</f>
        <v>-35.353999999992084</v>
      </c>
      <c r="C463" s="39">
        <f>F464-F462</f>
        <v>-10.951000000000022</v>
      </c>
      <c r="D463" s="35"/>
      <c r="E463" s="39"/>
      <c r="F463" s="39"/>
    </row>
    <row r="464" spans="1:6" x14ac:dyDescent="0.25">
      <c r="A464" s="39">
        <v>37.01</v>
      </c>
      <c r="B464" s="35"/>
      <c r="C464" s="35"/>
      <c r="D464" s="35" t="s">
        <v>64</v>
      </c>
      <c r="E464" s="39">
        <v>114594.823</v>
      </c>
      <c r="F464" s="39">
        <v>-4112.8379999999997</v>
      </c>
    </row>
    <row r="469" spans="1:6" x14ac:dyDescent="0.25">
      <c r="A469" s="48" t="s">
        <v>262</v>
      </c>
      <c r="D469" s="35" t="s">
        <v>73</v>
      </c>
      <c r="E469" s="39">
        <v>114639.11</v>
      </c>
      <c r="F469" s="39">
        <v>-4017.328</v>
      </c>
    </row>
    <row r="470" spans="1:6" x14ac:dyDescent="0.25">
      <c r="A470" s="45" t="s">
        <v>181</v>
      </c>
      <c r="B470" s="39">
        <f>E471-E469</f>
        <v>-4.297999999995227</v>
      </c>
      <c r="C470" s="39">
        <f>F471-F469</f>
        <v>-1.331000000000131</v>
      </c>
      <c r="D470" s="35"/>
      <c r="E470" s="39"/>
      <c r="F470" s="39"/>
    </row>
    <row r="471" spans="1:6" x14ac:dyDescent="0.25">
      <c r="A471" s="39">
        <v>4.5</v>
      </c>
      <c r="B471" s="35"/>
      <c r="C471" s="35"/>
      <c r="D471" s="35" t="s">
        <v>203</v>
      </c>
      <c r="E471" s="39">
        <v>114634.81200000001</v>
      </c>
      <c r="F471" s="39">
        <v>-4018.6590000000001</v>
      </c>
    </row>
    <row r="473" spans="1:6" x14ac:dyDescent="0.25">
      <c r="A473" s="48" t="s">
        <v>249</v>
      </c>
      <c r="D473" s="35" t="s">
        <v>203</v>
      </c>
      <c r="E473" s="39">
        <v>114634.81200000001</v>
      </c>
      <c r="F473" s="39">
        <v>-4018.6590000000001</v>
      </c>
    </row>
    <row r="474" spans="1:6" x14ac:dyDescent="0.25">
      <c r="A474" s="45" t="s">
        <v>181</v>
      </c>
      <c r="B474" s="39">
        <f>E475-E473</f>
        <v>-28.359000000011292</v>
      </c>
      <c r="C474" s="39">
        <f>F475-F473</f>
        <v>-8.7849999999998545</v>
      </c>
      <c r="D474" s="35"/>
      <c r="E474" s="39"/>
      <c r="F474" s="39"/>
    </row>
    <row r="475" spans="1:6" x14ac:dyDescent="0.25">
      <c r="A475" s="35">
        <v>29.69</v>
      </c>
      <c r="B475" s="35"/>
      <c r="C475" s="35"/>
      <c r="D475" s="35" t="s">
        <v>70</v>
      </c>
      <c r="E475" s="39">
        <v>114606.45299999999</v>
      </c>
      <c r="F475" s="39">
        <v>-4027.444</v>
      </c>
    </row>
    <row r="477" spans="1:6" x14ac:dyDescent="0.25">
      <c r="A477" s="48" t="s">
        <v>250</v>
      </c>
      <c r="D477" s="35" t="s">
        <v>70</v>
      </c>
      <c r="E477" s="39">
        <v>114606.45299999999</v>
      </c>
      <c r="F477" s="39">
        <v>-4027.444</v>
      </c>
    </row>
    <row r="478" spans="1:6" x14ac:dyDescent="0.25">
      <c r="A478" s="45" t="s">
        <v>182</v>
      </c>
      <c r="B478" s="27">
        <f>E479-E477</f>
        <v>4.8210000000108266</v>
      </c>
      <c r="C478" s="27">
        <f>F479-F477</f>
        <v>-15.126999999999953</v>
      </c>
    </row>
    <row r="479" spans="1:6" x14ac:dyDescent="0.25">
      <c r="A479" s="35">
        <v>15.88</v>
      </c>
      <c r="D479" s="35" t="s">
        <v>69</v>
      </c>
      <c r="E479" s="39">
        <v>114611.274</v>
      </c>
      <c r="F479" s="39">
        <v>-4042.5709999999999</v>
      </c>
    </row>
    <row r="481" spans="1:6" x14ac:dyDescent="0.25">
      <c r="A481" s="48" t="s">
        <v>251</v>
      </c>
      <c r="D481" s="35" t="s">
        <v>69</v>
      </c>
      <c r="E481" s="39">
        <v>114611.274</v>
      </c>
      <c r="F481" s="39">
        <v>-4042.5709999999999</v>
      </c>
    </row>
    <row r="482" spans="1:6" x14ac:dyDescent="0.25">
      <c r="A482" s="45" t="s">
        <v>182</v>
      </c>
      <c r="B482" s="39">
        <f>E483-E481</f>
        <v>4.7249999999912689</v>
      </c>
      <c r="C482" s="39">
        <f>F483-F481</f>
        <v>-14.826000000000022</v>
      </c>
      <c r="D482" s="35"/>
      <c r="E482" s="39"/>
      <c r="F482" s="39"/>
    </row>
    <row r="483" spans="1:6" x14ac:dyDescent="0.25">
      <c r="A483" s="35">
        <v>15.56</v>
      </c>
      <c r="B483" s="39"/>
      <c r="C483" s="39"/>
      <c r="D483" s="35" t="s">
        <v>68</v>
      </c>
      <c r="E483" s="39">
        <v>114615.999</v>
      </c>
      <c r="F483" s="39">
        <v>-4057.3969999999999</v>
      </c>
    </row>
    <row r="484" spans="1:6" x14ac:dyDescent="0.25">
      <c r="B484" s="27"/>
      <c r="C484" s="27"/>
    </row>
    <row r="485" spans="1:6" x14ac:dyDescent="0.25">
      <c r="A485" s="48" t="s">
        <v>252</v>
      </c>
      <c r="B485" s="27"/>
      <c r="C485" s="27"/>
      <c r="D485" s="35" t="s">
        <v>68</v>
      </c>
      <c r="E485" s="39">
        <v>114615.999</v>
      </c>
      <c r="F485" s="39">
        <v>-4057.3969999999999</v>
      </c>
    </row>
    <row r="486" spans="1:6" x14ac:dyDescent="0.25">
      <c r="A486" s="45" t="s">
        <v>182</v>
      </c>
      <c r="B486" s="39">
        <f>E487-E485</f>
        <v>4.7240000000019791</v>
      </c>
      <c r="C486" s="39">
        <f>F487-F485</f>
        <v>-14.825000000000273</v>
      </c>
    </row>
    <row r="487" spans="1:6" x14ac:dyDescent="0.25">
      <c r="A487" s="35">
        <v>15.56</v>
      </c>
      <c r="B487" s="35"/>
      <c r="C487" s="35"/>
      <c r="D487" s="35" t="s">
        <v>67</v>
      </c>
      <c r="E487" s="39">
        <v>114620.723</v>
      </c>
      <c r="F487" s="39">
        <v>-4072.2220000000002</v>
      </c>
    </row>
    <row r="489" spans="1:6" x14ac:dyDescent="0.25">
      <c r="A489" s="48" t="s">
        <v>253</v>
      </c>
      <c r="D489" s="35" t="s">
        <v>67</v>
      </c>
      <c r="E489" s="39">
        <v>114620.723</v>
      </c>
      <c r="F489" s="39">
        <v>-4072.2220000000002</v>
      </c>
    </row>
    <row r="490" spans="1:6" x14ac:dyDescent="0.25">
      <c r="A490" s="45" t="s">
        <v>182</v>
      </c>
      <c r="B490" s="39">
        <f>E491-E489</f>
        <v>5.0590000000083819</v>
      </c>
      <c r="C490" s="39">
        <f>F491-F489</f>
        <v>-15.873999999999796</v>
      </c>
    </row>
    <row r="491" spans="1:6" x14ac:dyDescent="0.25">
      <c r="A491" s="35">
        <v>16.66</v>
      </c>
      <c r="B491" s="35"/>
      <c r="C491" s="35"/>
      <c r="D491" s="35" t="s">
        <v>66</v>
      </c>
      <c r="E491" s="39">
        <v>114625.78200000001</v>
      </c>
      <c r="F491" s="39">
        <v>-4088.096</v>
      </c>
    </row>
    <row r="493" spans="1:6" x14ac:dyDescent="0.25">
      <c r="A493" s="48" t="s">
        <v>319</v>
      </c>
      <c r="D493" s="35" t="s">
        <v>66</v>
      </c>
      <c r="E493" s="39">
        <v>114625.78200000001</v>
      </c>
      <c r="F493" s="39">
        <v>-4088.096</v>
      </c>
    </row>
    <row r="494" spans="1:6" x14ac:dyDescent="0.25">
      <c r="A494" s="45" t="s">
        <v>182</v>
      </c>
      <c r="B494" s="27">
        <f>E495-E493</f>
        <v>4.3949999999895226</v>
      </c>
      <c r="C494" s="27">
        <f>F495-F493</f>
        <v>-13.790999999999713</v>
      </c>
    </row>
    <row r="495" spans="1:6" x14ac:dyDescent="0.25">
      <c r="A495" s="18">
        <v>14.47</v>
      </c>
      <c r="D495" s="35" t="s">
        <v>65</v>
      </c>
      <c r="E495" s="39">
        <v>114630.177</v>
      </c>
      <c r="F495" s="39">
        <v>-4101.8869999999997</v>
      </c>
    </row>
    <row r="497" spans="1:6" x14ac:dyDescent="0.25">
      <c r="A497" s="48" t="s">
        <v>320</v>
      </c>
      <c r="D497" s="35" t="s">
        <v>65</v>
      </c>
      <c r="E497" s="39">
        <v>114630.177</v>
      </c>
      <c r="F497" s="39">
        <v>-4101.8869999999997</v>
      </c>
    </row>
    <row r="498" spans="1:6" x14ac:dyDescent="0.25">
      <c r="A498" s="45" t="s">
        <v>212</v>
      </c>
      <c r="B498" s="27">
        <f>E499-E497</f>
        <v>36.956000000005588</v>
      </c>
      <c r="C498" s="27">
        <f>F499-F497</f>
        <v>11.446999999999662</v>
      </c>
    </row>
    <row r="499" spans="1:6" x14ac:dyDescent="0.25">
      <c r="A499" s="18">
        <v>38.69</v>
      </c>
      <c r="D499" s="35" t="s">
        <v>97</v>
      </c>
      <c r="E499" s="39">
        <v>114667.133</v>
      </c>
      <c r="F499" s="35">
        <v>-4090.44</v>
      </c>
    </row>
    <row r="501" spans="1:6" x14ac:dyDescent="0.25">
      <c r="A501" s="48" t="s">
        <v>321</v>
      </c>
      <c r="D501" s="35" t="s">
        <v>97</v>
      </c>
      <c r="E501" s="39">
        <v>114667.133</v>
      </c>
      <c r="F501" s="35">
        <v>-4090.44</v>
      </c>
    </row>
    <row r="502" spans="1:6" x14ac:dyDescent="0.25">
      <c r="A502" s="45" t="s">
        <v>179</v>
      </c>
      <c r="B502" s="27">
        <f>E503-E501</f>
        <v>-3.3790000000008149</v>
      </c>
      <c r="C502" s="27">
        <f>F503-F501</f>
        <v>10.605000000000018</v>
      </c>
    </row>
    <row r="503" spans="1:6" x14ac:dyDescent="0.25">
      <c r="A503" s="18">
        <v>11.13</v>
      </c>
      <c r="D503" s="35" t="s">
        <v>96</v>
      </c>
      <c r="E503" s="39">
        <v>114663.754</v>
      </c>
      <c r="F503" s="39">
        <v>-4079.835</v>
      </c>
    </row>
    <row r="504" spans="1:6" x14ac:dyDescent="0.25">
      <c r="D504" s="35"/>
      <c r="E504" s="39"/>
      <c r="F504" s="39"/>
    </row>
    <row r="505" spans="1:6" x14ac:dyDescent="0.25">
      <c r="A505" s="48" t="s">
        <v>322</v>
      </c>
      <c r="D505" s="35" t="s">
        <v>96</v>
      </c>
      <c r="E505" s="39">
        <v>114663.754</v>
      </c>
      <c r="F505" s="39">
        <v>-4079.835</v>
      </c>
    </row>
    <row r="506" spans="1:6" x14ac:dyDescent="0.25">
      <c r="A506" s="45" t="s">
        <v>212</v>
      </c>
      <c r="B506" s="27">
        <f>E507-E505</f>
        <v>-8.5979999999981374</v>
      </c>
      <c r="C506" s="27">
        <f>F507-F505</f>
        <v>-2.6630000000000109</v>
      </c>
    </row>
    <row r="507" spans="1:6" x14ac:dyDescent="0.25">
      <c r="A507" s="39">
        <v>9</v>
      </c>
      <c r="D507" s="35" t="s">
        <v>81</v>
      </c>
      <c r="E507" s="39">
        <v>114655.156</v>
      </c>
      <c r="F507" s="39">
        <v>-4082.498</v>
      </c>
    </row>
    <row r="508" spans="1:6" x14ac:dyDescent="0.25">
      <c r="A508" s="48"/>
    </row>
    <row r="509" spans="1:6" x14ac:dyDescent="0.25">
      <c r="A509" s="48" t="s">
        <v>323</v>
      </c>
      <c r="D509" s="35" t="s">
        <v>81</v>
      </c>
      <c r="E509" s="39">
        <v>114655.156</v>
      </c>
      <c r="F509" s="39">
        <v>-4082.498</v>
      </c>
    </row>
    <row r="510" spans="1:6" x14ac:dyDescent="0.25">
      <c r="A510" s="45" t="s">
        <v>179</v>
      </c>
      <c r="B510" s="27">
        <f>E511-E509</f>
        <v>-1.0149999999994179</v>
      </c>
      <c r="C510" s="27">
        <f>F511-F509</f>
        <v>3.1860000000001492</v>
      </c>
    </row>
    <row r="511" spans="1:6" x14ac:dyDescent="0.25">
      <c r="A511" s="18">
        <v>3.34</v>
      </c>
      <c r="D511" s="35" t="s">
        <v>80</v>
      </c>
      <c r="E511" s="39">
        <v>114654.141</v>
      </c>
      <c r="F511" s="39">
        <v>-4079.3119999999999</v>
      </c>
    </row>
    <row r="513" spans="1:6" x14ac:dyDescent="0.25">
      <c r="A513" s="48" t="s">
        <v>254</v>
      </c>
      <c r="D513" s="35" t="s">
        <v>80</v>
      </c>
      <c r="E513" s="39">
        <v>114654.141</v>
      </c>
      <c r="F513" s="39">
        <v>-4079.3119999999999</v>
      </c>
    </row>
    <row r="514" spans="1:6" x14ac:dyDescent="0.25">
      <c r="A514" s="45" t="s">
        <v>179</v>
      </c>
      <c r="B514" s="27">
        <f>E515-E513</f>
        <v>-1.7060000000055879</v>
      </c>
      <c r="C514" s="27">
        <f>F515-F513</f>
        <v>5.3539999999998145</v>
      </c>
    </row>
    <row r="515" spans="1:6" x14ac:dyDescent="0.25">
      <c r="A515" s="35">
        <v>5.62</v>
      </c>
      <c r="D515" s="35" t="s">
        <v>203</v>
      </c>
      <c r="E515" s="39">
        <v>114652.435</v>
      </c>
      <c r="F515" s="39">
        <v>-4073.9580000000001</v>
      </c>
    </row>
    <row r="517" spans="1:6" x14ac:dyDescent="0.25">
      <c r="A517" s="48" t="s">
        <v>255</v>
      </c>
      <c r="D517" s="35" t="s">
        <v>203</v>
      </c>
      <c r="E517" s="39">
        <v>114652.435</v>
      </c>
      <c r="F517" s="39">
        <v>-4073.9580000000001</v>
      </c>
    </row>
    <row r="518" spans="1:6" x14ac:dyDescent="0.25">
      <c r="A518" s="45" t="s">
        <v>212</v>
      </c>
      <c r="B518" s="39">
        <f>E519-E517</f>
        <v>4.2949999999982538</v>
      </c>
      <c r="C518" s="39">
        <f>F519-F517</f>
        <v>1.3479999999999563</v>
      </c>
      <c r="D518" s="35"/>
      <c r="E518" s="39"/>
      <c r="F518" s="39"/>
    </row>
    <row r="519" spans="1:6" x14ac:dyDescent="0.25">
      <c r="A519" s="35">
        <v>4.5</v>
      </c>
      <c r="B519" s="35"/>
      <c r="C519" s="35"/>
      <c r="D519" s="35" t="s">
        <v>78</v>
      </c>
      <c r="E519" s="39">
        <v>114656.73</v>
      </c>
      <c r="F519" s="39">
        <v>-4072.61</v>
      </c>
    </row>
    <row r="521" spans="1:6" x14ac:dyDescent="0.25">
      <c r="A521" s="48" t="s">
        <v>256</v>
      </c>
      <c r="D521" s="35" t="s">
        <v>78</v>
      </c>
      <c r="E521" s="39">
        <v>114656.73</v>
      </c>
      <c r="F521" s="39">
        <v>-4072.61</v>
      </c>
    </row>
    <row r="522" spans="1:6" x14ac:dyDescent="0.25">
      <c r="A522" s="45" t="s">
        <v>179</v>
      </c>
      <c r="B522" s="39">
        <f>E523-E521</f>
        <v>-1.3739999999961583</v>
      </c>
      <c r="C522" s="39">
        <f>F523-F521</f>
        <v>4.30600000000004</v>
      </c>
      <c r="D522" s="35"/>
      <c r="E522" s="39"/>
      <c r="F522" s="39"/>
    </row>
    <row r="523" spans="1:6" x14ac:dyDescent="0.25">
      <c r="A523" s="35">
        <v>4.5</v>
      </c>
      <c r="B523" s="39"/>
      <c r="C523" s="39"/>
      <c r="D523" s="35" t="s">
        <v>200</v>
      </c>
      <c r="E523" s="39">
        <v>114655.356</v>
      </c>
      <c r="F523" s="39">
        <v>-4068.3040000000001</v>
      </c>
    </row>
    <row r="524" spans="1:6" x14ac:dyDescent="0.25">
      <c r="B524" s="27"/>
      <c r="C524" s="27"/>
    </row>
    <row r="525" spans="1:6" x14ac:dyDescent="0.25">
      <c r="A525" s="48" t="s">
        <v>257</v>
      </c>
      <c r="B525" s="27"/>
      <c r="C525" s="27"/>
      <c r="D525" s="35" t="s">
        <v>200</v>
      </c>
      <c r="E525" s="39">
        <v>114655.356</v>
      </c>
      <c r="F525" s="39">
        <v>-4068.3040000000001</v>
      </c>
    </row>
    <row r="526" spans="1:6" x14ac:dyDescent="0.25">
      <c r="A526" s="45" t="s">
        <v>179</v>
      </c>
      <c r="B526" s="39">
        <f>E527-E525</f>
        <v>-1.9750000000058208</v>
      </c>
      <c r="C526" s="39">
        <f>F527-F525</f>
        <v>6.1970000000001164</v>
      </c>
      <c r="D526" s="35"/>
      <c r="E526" s="39"/>
      <c r="F526" s="39"/>
    </row>
    <row r="527" spans="1:6" x14ac:dyDescent="0.25">
      <c r="A527" s="35">
        <v>6.5039999999999996</v>
      </c>
      <c r="B527" s="35"/>
      <c r="C527" s="35"/>
      <c r="D527" s="35" t="s">
        <v>76</v>
      </c>
      <c r="E527" s="39">
        <v>114653.38099999999</v>
      </c>
      <c r="F527" s="39">
        <v>-4062.107</v>
      </c>
    </row>
    <row r="529" spans="1:6" x14ac:dyDescent="0.25">
      <c r="A529" s="48" t="s">
        <v>258</v>
      </c>
      <c r="D529" s="35" t="s">
        <v>76</v>
      </c>
      <c r="E529" s="39">
        <v>114653.38099999999</v>
      </c>
      <c r="F529" s="39">
        <v>-4062.107</v>
      </c>
    </row>
    <row r="530" spans="1:6" x14ac:dyDescent="0.25">
      <c r="A530" s="45" t="s">
        <v>179</v>
      </c>
      <c r="B530" s="39">
        <f>E531-E529</f>
        <v>-4.7249999999912689</v>
      </c>
      <c r="C530" s="39">
        <f>F531-F529</f>
        <v>14.826000000000022</v>
      </c>
      <c r="D530" s="35"/>
      <c r="E530" s="39"/>
      <c r="F530" s="39"/>
    </row>
    <row r="531" spans="1:6" x14ac:dyDescent="0.25">
      <c r="A531" s="35">
        <v>15.56</v>
      </c>
      <c r="B531" s="35"/>
      <c r="C531" s="35"/>
      <c r="D531" s="35" t="s">
        <v>75</v>
      </c>
      <c r="E531" s="39">
        <v>114648.656</v>
      </c>
      <c r="F531" s="39">
        <v>-4047.2809999999999</v>
      </c>
    </row>
    <row r="532" spans="1:6" x14ac:dyDescent="0.25">
      <c r="A532" s="35"/>
      <c r="B532" s="35"/>
      <c r="C532" s="35"/>
      <c r="D532" s="35"/>
      <c r="E532" s="39"/>
      <c r="F532" s="39"/>
    </row>
    <row r="533" spans="1:6" x14ac:dyDescent="0.25">
      <c r="A533" s="48" t="s">
        <v>259</v>
      </c>
      <c r="B533" s="35"/>
      <c r="C533" s="35"/>
      <c r="D533" s="35" t="s">
        <v>75</v>
      </c>
      <c r="E533" s="39">
        <v>114648.656</v>
      </c>
      <c r="F533" s="39">
        <v>-4047.2809999999999</v>
      </c>
    </row>
    <row r="534" spans="1:6" x14ac:dyDescent="0.25">
      <c r="A534" s="45" t="s">
        <v>179</v>
      </c>
      <c r="B534" s="39">
        <f>E535-E533</f>
        <v>-4.7250000000058208</v>
      </c>
      <c r="C534" s="39">
        <f>F535-F533</f>
        <v>14.826000000000022</v>
      </c>
      <c r="D534" s="35"/>
      <c r="E534" s="39"/>
      <c r="F534" s="39"/>
    </row>
    <row r="535" spans="1:6" x14ac:dyDescent="0.25">
      <c r="A535" s="35">
        <v>15.56</v>
      </c>
      <c r="B535" s="35"/>
      <c r="C535" s="35"/>
      <c r="D535" s="35" t="s">
        <v>74</v>
      </c>
      <c r="E535" s="39">
        <v>114643.931</v>
      </c>
      <c r="F535" s="39">
        <v>-4032.4549999999999</v>
      </c>
    </row>
    <row r="536" spans="1:6" x14ac:dyDescent="0.25">
      <c r="A536" s="35"/>
      <c r="B536" s="35"/>
      <c r="C536" s="35"/>
      <c r="D536" s="35"/>
      <c r="E536" s="39"/>
      <c r="F536" s="39"/>
    </row>
    <row r="537" spans="1:6" x14ac:dyDescent="0.25">
      <c r="A537" s="48" t="s">
        <v>260</v>
      </c>
      <c r="D537" s="35" t="s">
        <v>74</v>
      </c>
      <c r="E537" s="39">
        <v>114643.931</v>
      </c>
      <c r="F537" s="39">
        <v>-4032.4549999999999</v>
      </c>
    </row>
    <row r="538" spans="1:6" x14ac:dyDescent="0.25">
      <c r="A538" s="45" t="s">
        <v>179</v>
      </c>
      <c r="B538" s="39">
        <f>E539-E537</f>
        <v>-3.4539999999979045</v>
      </c>
      <c r="C538" s="39">
        <f>F539-F537</f>
        <v>10.838999999999942</v>
      </c>
      <c r="D538" s="35"/>
      <c r="E538" s="39"/>
      <c r="F538" s="39"/>
    </row>
    <row r="539" spans="1:6" x14ac:dyDescent="0.25">
      <c r="A539" s="35">
        <v>11.38</v>
      </c>
      <c r="B539" s="35"/>
      <c r="C539" s="35"/>
      <c r="D539" s="35" t="s">
        <v>200</v>
      </c>
      <c r="E539" s="39">
        <v>114640.477</v>
      </c>
      <c r="F539" s="39">
        <v>-4021.616</v>
      </c>
    </row>
    <row r="541" spans="1:6" x14ac:dyDescent="0.25">
      <c r="A541" s="48" t="s">
        <v>261</v>
      </c>
      <c r="D541" s="35" t="s">
        <v>200</v>
      </c>
      <c r="E541" s="39">
        <v>114640.477</v>
      </c>
      <c r="F541" s="39">
        <v>-4021.616</v>
      </c>
    </row>
    <row r="542" spans="1:6" x14ac:dyDescent="0.25">
      <c r="A542" s="45" t="s">
        <v>179</v>
      </c>
      <c r="B542" s="39">
        <f>E543-E541</f>
        <v>-1.3669999999983702</v>
      </c>
      <c r="C542" s="39">
        <f>F543-F541</f>
        <v>4.2880000000000109</v>
      </c>
      <c r="D542" s="35"/>
      <c r="E542" s="39"/>
      <c r="F542" s="39"/>
    </row>
    <row r="543" spans="1:6" x14ac:dyDescent="0.25">
      <c r="A543" s="35">
        <v>4.5</v>
      </c>
      <c r="B543" s="35"/>
      <c r="C543" s="35"/>
      <c r="D543" s="35" t="s">
        <v>73</v>
      </c>
      <c r="E543" s="39">
        <v>114639.11</v>
      </c>
      <c r="F543" s="39">
        <v>-4017.328</v>
      </c>
    </row>
    <row r="548" spans="1:6" x14ac:dyDescent="0.25">
      <c r="A548" s="48" t="s">
        <v>321</v>
      </c>
      <c r="D548" s="35" t="s">
        <v>97</v>
      </c>
      <c r="E548" s="39">
        <v>114667.133</v>
      </c>
      <c r="F548" s="35">
        <v>-4090.44</v>
      </c>
    </row>
    <row r="549" spans="1:6" x14ac:dyDescent="0.25">
      <c r="A549" s="45" t="s">
        <v>179</v>
      </c>
      <c r="B549" s="27">
        <f>E550-E548</f>
        <v>-3.3790000000008149</v>
      </c>
      <c r="C549" s="27">
        <f>F550-F548</f>
        <v>10.605000000000018</v>
      </c>
    </row>
    <row r="550" spans="1:6" x14ac:dyDescent="0.25">
      <c r="A550" s="18">
        <v>11.13</v>
      </c>
      <c r="D550" s="35" t="s">
        <v>96</v>
      </c>
      <c r="E550" s="39">
        <v>114663.754</v>
      </c>
      <c r="F550" s="39">
        <v>-4079.835</v>
      </c>
    </row>
    <row r="552" spans="1:6" x14ac:dyDescent="0.25">
      <c r="A552" s="48" t="s">
        <v>263</v>
      </c>
      <c r="D552" s="35" t="s">
        <v>96</v>
      </c>
      <c r="E552" s="39">
        <v>114663.754</v>
      </c>
      <c r="F552" s="39">
        <v>-4079.835</v>
      </c>
    </row>
    <row r="553" spans="1:6" x14ac:dyDescent="0.25">
      <c r="A553" s="45" t="s">
        <v>212</v>
      </c>
      <c r="B553" s="39">
        <f>E554-E552</f>
        <v>8.5969999999942956</v>
      </c>
      <c r="C553" s="39">
        <f>F554-F552</f>
        <v>2.6630000000000109</v>
      </c>
      <c r="D553" s="35"/>
      <c r="E553" s="39"/>
      <c r="F553" s="39"/>
    </row>
    <row r="554" spans="1:6" x14ac:dyDescent="0.25">
      <c r="A554" s="35">
        <v>9</v>
      </c>
      <c r="B554" s="35"/>
      <c r="C554" s="35"/>
      <c r="D554" s="35" t="s">
        <v>95</v>
      </c>
      <c r="E554" s="39">
        <v>114672.351</v>
      </c>
      <c r="F554" s="39">
        <v>-4077.172</v>
      </c>
    </row>
    <row r="556" spans="1:6" x14ac:dyDescent="0.25">
      <c r="A556" s="48" t="s">
        <v>264</v>
      </c>
      <c r="D556" s="35" t="s">
        <v>95</v>
      </c>
      <c r="E556" s="39">
        <v>114672.351</v>
      </c>
      <c r="F556" s="39">
        <v>-4077.172</v>
      </c>
    </row>
    <row r="557" spans="1:6" x14ac:dyDescent="0.25">
      <c r="A557" s="45" t="s">
        <v>179</v>
      </c>
      <c r="B557" s="39">
        <f>E558-E556</f>
        <v>-0.8110000000015134</v>
      </c>
      <c r="C557" s="39">
        <f>F558-F556</f>
        <v>2.5450000000000728</v>
      </c>
      <c r="D557" s="35"/>
      <c r="E557" s="39"/>
      <c r="F557" s="39"/>
    </row>
    <row r="558" spans="1:6" x14ac:dyDescent="0.25">
      <c r="A558" s="39">
        <v>2.6709999999999998</v>
      </c>
      <c r="B558" s="35"/>
      <c r="C558" s="35"/>
      <c r="D558" s="35" t="s">
        <v>94</v>
      </c>
      <c r="E558" s="39">
        <v>114671.54</v>
      </c>
      <c r="F558" s="39">
        <v>-4074.627</v>
      </c>
    </row>
    <row r="560" spans="1:6" x14ac:dyDescent="0.25">
      <c r="A560" s="48" t="s">
        <v>265</v>
      </c>
      <c r="D560" s="35" t="s">
        <v>94</v>
      </c>
      <c r="E560" s="39">
        <v>114671.54</v>
      </c>
      <c r="F560" s="39">
        <v>-4074.627</v>
      </c>
    </row>
    <row r="561" spans="1:6" x14ac:dyDescent="0.25">
      <c r="A561" s="45" t="s">
        <v>179</v>
      </c>
      <c r="B561" s="39">
        <f>E562-E560</f>
        <v>-1.9329999999899883</v>
      </c>
      <c r="C561" s="39">
        <f>F562-F560</f>
        <v>6.0650000000000546</v>
      </c>
      <c r="D561" s="35"/>
      <c r="E561" s="39"/>
      <c r="F561" s="39"/>
    </row>
    <row r="562" spans="1:6" x14ac:dyDescent="0.25">
      <c r="A562" s="35">
        <v>6.3659999999999997</v>
      </c>
      <c r="B562" s="35"/>
      <c r="C562" s="35"/>
      <c r="D562" s="35" t="s">
        <v>203</v>
      </c>
      <c r="E562" s="39">
        <v>114669.607</v>
      </c>
      <c r="F562" s="39">
        <v>-4068.5619999999999</v>
      </c>
    </row>
    <row r="564" spans="1:6" x14ac:dyDescent="0.25">
      <c r="A564" s="48" t="s">
        <v>266</v>
      </c>
      <c r="D564" s="35" t="s">
        <v>203</v>
      </c>
      <c r="E564" s="39">
        <v>114669.607</v>
      </c>
      <c r="F564" s="39">
        <v>-4068.5619999999999</v>
      </c>
    </row>
    <row r="565" spans="1:6" x14ac:dyDescent="0.25">
      <c r="A565" s="45" t="s">
        <v>212</v>
      </c>
      <c r="B565" s="39">
        <f>E566-E564</f>
        <v>-4.2970000000059372</v>
      </c>
      <c r="C565" s="39">
        <f>F566-F564</f>
        <v>-1.3479999999999563</v>
      </c>
      <c r="D565" s="35"/>
      <c r="E565" s="39"/>
      <c r="F565" s="39"/>
    </row>
    <row r="566" spans="1:6" x14ac:dyDescent="0.25">
      <c r="A566" s="35">
        <v>4.5</v>
      </c>
      <c r="B566" s="35"/>
      <c r="C566" s="35"/>
      <c r="D566" s="35" t="s">
        <v>84</v>
      </c>
      <c r="E566" s="39">
        <v>114665.31</v>
      </c>
      <c r="F566" s="39">
        <v>-4069.91</v>
      </c>
    </row>
    <row r="568" spans="1:6" x14ac:dyDescent="0.25">
      <c r="A568" s="48" t="s">
        <v>267</v>
      </c>
      <c r="D568" s="35" t="s">
        <v>84</v>
      </c>
      <c r="E568" s="39">
        <v>114665.31</v>
      </c>
      <c r="F568" s="39">
        <v>-4069.91</v>
      </c>
    </row>
    <row r="569" spans="1:6" x14ac:dyDescent="0.25">
      <c r="A569" s="45" t="s">
        <v>179</v>
      </c>
      <c r="B569" s="39">
        <f>E570-E568</f>
        <v>-1.3570000000036089</v>
      </c>
      <c r="C569" s="39">
        <f>F570-F568</f>
        <v>4.2689999999997781</v>
      </c>
      <c r="D569" s="35"/>
      <c r="E569" s="39"/>
      <c r="F569" s="39"/>
    </row>
    <row r="570" spans="1:6" x14ac:dyDescent="0.25">
      <c r="A570" s="35">
        <v>4.5</v>
      </c>
      <c r="B570" s="35"/>
      <c r="C570" s="35"/>
      <c r="D570" s="35" t="s">
        <v>200</v>
      </c>
      <c r="E570" s="39">
        <v>114663.95299999999</v>
      </c>
      <c r="F570" s="39">
        <v>-4065.6410000000001</v>
      </c>
    </row>
    <row r="572" spans="1:6" x14ac:dyDescent="0.25">
      <c r="A572" s="48" t="s">
        <v>268</v>
      </c>
      <c r="D572" s="35" t="s">
        <v>200</v>
      </c>
      <c r="E572" s="39">
        <v>114663.95299999999</v>
      </c>
      <c r="F572" s="39">
        <v>-4065.6410000000001</v>
      </c>
    </row>
    <row r="573" spans="1:6" x14ac:dyDescent="0.25">
      <c r="A573" s="45" t="s">
        <v>179</v>
      </c>
      <c r="B573" s="39">
        <f>E574-E572</f>
        <v>-1.4539999999979045</v>
      </c>
      <c r="C573" s="39">
        <f>F574-F572</f>
        <v>4.5619999999998981</v>
      </c>
      <c r="D573" s="35"/>
      <c r="E573" s="39"/>
      <c r="F573" s="39"/>
    </row>
    <row r="574" spans="1:6" x14ac:dyDescent="0.25">
      <c r="A574" s="39">
        <v>4.7880000000000003</v>
      </c>
      <c r="B574" s="35"/>
      <c r="C574" s="35"/>
      <c r="D574" s="35" t="s">
        <v>85</v>
      </c>
      <c r="E574" s="39">
        <v>114662.499</v>
      </c>
      <c r="F574" s="39">
        <v>-4061.0790000000002</v>
      </c>
    </row>
    <row r="576" spans="1:6" x14ac:dyDescent="0.25">
      <c r="A576" s="48" t="s">
        <v>269</v>
      </c>
      <c r="D576" s="35" t="s">
        <v>85</v>
      </c>
      <c r="E576" s="39">
        <v>114662.499</v>
      </c>
      <c r="F576" s="39">
        <v>-4061.0790000000002</v>
      </c>
    </row>
    <row r="577" spans="1:6" x14ac:dyDescent="0.25">
      <c r="A577" s="45" t="s">
        <v>179</v>
      </c>
      <c r="B577" s="39">
        <f>E578-E576</f>
        <v>-4.3809999999939464</v>
      </c>
      <c r="C577" s="39">
        <f>F578-F576</f>
        <v>13.748000000000047</v>
      </c>
      <c r="D577" s="35"/>
      <c r="E577" s="39"/>
      <c r="F577" s="39"/>
    </row>
    <row r="578" spans="1:6" x14ac:dyDescent="0.25">
      <c r="A578" s="35">
        <v>14.43</v>
      </c>
      <c r="B578" s="35"/>
      <c r="C578" s="35"/>
      <c r="D578" s="35" t="s">
        <v>86</v>
      </c>
      <c r="E578" s="39">
        <v>114658.118</v>
      </c>
      <c r="F578" s="39">
        <v>-4047.3310000000001</v>
      </c>
    </row>
    <row r="580" spans="1:6" x14ac:dyDescent="0.25">
      <c r="A580" s="48" t="s">
        <v>270</v>
      </c>
      <c r="D580" s="35" t="s">
        <v>86</v>
      </c>
      <c r="E580" s="39">
        <v>114658.118</v>
      </c>
      <c r="F580" s="39">
        <v>-4047.3310000000001</v>
      </c>
    </row>
    <row r="581" spans="1:6" x14ac:dyDescent="0.25">
      <c r="A581" s="45" t="s">
        <v>179</v>
      </c>
      <c r="B581" s="39">
        <f>E582-E580</f>
        <v>-4.3810000000084983</v>
      </c>
      <c r="C581" s="39">
        <f>F582-F580</f>
        <v>13.747000000000298</v>
      </c>
      <c r="D581" s="35"/>
      <c r="E581" s="39"/>
      <c r="F581" s="35"/>
    </row>
    <row r="582" spans="1:6" x14ac:dyDescent="0.25">
      <c r="A582" s="35">
        <v>14.43</v>
      </c>
      <c r="B582" s="39"/>
      <c r="C582" s="39"/>
      <c r="D582" s="35" t="s">
        <v>87</v>
      </c>
      <c r="E582" s="39">
        <v>114653.73699999999</v>
      </c>
      <c r="F582" s="39">
        <v>-4033.5839999999998</v>
      </c>
    </row>
    <row r="583" spans="1:6" x14ac:dyDescent="0.25">
      <c r="A583" s="35"/>
      <c r="B583" s="39"/>
      <c r="C583" s="39"/>
      <c r="D583" s="35"/>
      <c r="E583" s="39"/>
      <c r="F583" s="39"/>
    </row>
    <row r="584" spans="1:6" x14ac:dyDescent="0.25">
      <c r="A584" s="48" t="s">
        <v>271</v>
      </c>
      <c r="B584" s="39"/>
      <c r="C584" s="39"/>
      <c r="D584" s="35" t="s">
        <v>87</v>
      </c>
      <c r="E584" s="39">
        <v>114653.73699999999</v>
      </c>
      <c r="F584" s="39">
        <v>-4033.5839999999998</v>
      </c>
    </row>
    <row r="585" spans="1:6" x14ac:dyDescent="0.25">
      <c r="A585" s="45" t="s">
        <v>179</v>
      </c>
      <c r="B585" s="39">
        <f>E586-E584</f>
        <v>-4.3809999999939464</v>
      </c>
      <c r="C585" s="39">
        <f>F586-F584</f>
        <v>13.746999999999844</v>
      </c>
      <c r="D585" s="35"/>
      <c r="E585" s="39"/>
      <c r="F585" s="39"/>
    </row>
    <row r="586" spans="1:6" x14ac:dyDescent="0.25">
      <c r="A586" s="35">
        <v>14.43</v>
      </c>
      <c r="B586" s="39"/>
      <c r="C586" s="39"/>
      <c r="D586" s="35" t="s">
        <v>88</v>
      </c>
      <c r="E586" s="39">
        <v>114649.356</v>
      </c>
      <c r="F586" s="39">
        <v>-4019.837</v>
      </c>
    </row>
    <row r="587" spans="1:6" x14ac:dyDescent="0.25">
      <c r="A587" s="35"/>
      <c r="B587" s="39"/>
      <c r="C587" s="39"/>
      <c r="D587" s="35"/>
      <c r="E587" s="39"/>
      <c r="F587" s="39"/>
    </row>
    <row r="588" spans="1:6" x14ac:dyDescent="0.25">
      <c r="A588" s="48" t="s">
        <v>272</v>
      </c>
      <c r="B588" s="39"/>
      <c r="C588" s="39"/>
      <c r="D588" s="35" t="s">
        <v>88</v>
      </c>
      <c r="E588" s="39">
        <v>114649.356</v>
      </c>
      <c r="F588" s="39">
        <v>-4019.837</v>
      </c>
    </row>
    <row r="589" spans="1:6" x14ac:dyDescent="0.25">
      <c r="A589" s="45" t="s">
        <v>179</v>
      </c>
      <c r="B589" s="39">
        <f>E590-E588</f>
        <v>-1.6480000000010477</v>
      </c>
      <c r="C589" s="39">
        <f>F590-F588</f>
        <v>5.1720000000000255</v>
      </c>
      <c r="D589" s="35"/>
      <c r="E589" s="39"/>
      <c r="F589" s="39"/>
    </row>
    <row r="590" spans="1:6" x14ac:dyDescent="0.25">
      <c r="A590" s="39">
        <v>5.4279999999999999</v>
      </c>
      <c r="B590" s="39"/>
      <c r="C590" s="39"/>
      <c r="D590" s="38" t="s">
        <v>105</v>
      </c>
      <c r="E590" s="44">
        <v>114647.708</v>
      </c>
      <c r="F590" s="44">
        <v>-4014.665</v>
      </c>
    </row>
    <row r="591" spans="1:6" x14ac:dyDescent="0.25">
      <c r="A591" s="35"/>
      <c r="B591" s="39"/>
      <c r="C591" s="39"/>
      <c r="D591" s="38"/>
      <c r="E591" s="44"/>
      <c r="F591" s="44"/>
    </row>
    <row r="592" spans="1:6" x14ac:dyDescent="0.25">
      <c r="A592" s="48" t="s">
        <v>273</v>
      </c>
      <c r="B592" s="39"/>
      <c r="C592" s="39"/>
      <c r="D592" s="38" t="s">
        <v>105</v>
      </c>
      <c r="E592" s="44">
        <v>114647.708</v>
      </c>
      <c r="F592" s="44">
        <v>-4014.665</v>
      </c>
    </row>
    <row r="593" spans="1:6" x14ac:dyDescent="0.25">
      <c r="A593" s="45" t="s">
        <v>179</v>
      </c>
      <c r="B593" s="39">
        <f>E594-E592</f>
        <v>-2.7329999999928987</v>
      </c>
      <c r="C593" s="39">
        <f>F594-F592</f>
        <v>8.5749999999998181</v>
      </c>
      <c r="D593" s="38"/>
      <c r="E593" s="44"/>
      <c r="F593" s="38"/>
    </row>
    <row r="594" spans="1:6" x14ac:dyDescent="0.25">
      <c r="A594" s="35">
        <v>9</v>
      </c>
      <c r="B594" s="35"/>
      <c r="C594" s="35"/>
      <c r="D594" s="38" t="s">
        <v>106</v>
      </c>
      <c r="E594" s="44">
        <v>114644.97500000001</v>
      </c>
      <c r="F594" s="38">
        <v>-4006.09</v>
      </c>
    </row>
    <row r="596" spans="1:6" x14ac:dyDescent="0.25">
      <c r="A596" s="48" t="s">
        <v>324</v>
      </c>
      <c r="D596" s="38" t="s">
        <v>106</v>
      </c>
      <c r="E596" s="44">
        <v>114644.97500000001</v>
      </c>
      <c r="F596" s="38">
        <v>-4006.09</v>
      </c>
    </row>
    <row r="597" spans="1:6" x14ac:dyDescent="0.25">
      <c r="A597" s="45" t="s">
        <v>212</v>
      </c>
      <c r="B597" s="27">
        <f>E598-E596</f>
        <v>30.564999999987776</v>
      </c>
      <c r="C597" s="18">
        <f>F598-F596</f>
        <v>9.4700000000002547</v>
      </c>
    </row>
    <row r="598" spans="1:6" x14ac:dyDescent="0.25">
      <c r="A598" s="18">
        <v>32</v>
      </c>
      <c r="D598" s="38" t="s">
        <v>108</v>
      </c>
      <c r="E598" s="44">
        <v>114675.54</v>
      </c>
      <c r="F598" s="38">
        <v>-3996.62</v>
      </c>
    </row>
    <row r="600" spans="1:6" x14ac:dyDescent="0.25">
      <c r="A600" s="48" t="s">
        <v>194</v>
      </c>
      <c r="D600" s="38" t="s">
        <v>108</v>
      </c>
      <c r="E600" s="44">
        <v>114675.54</v>
      </c>
      <c r="F600" s="38">
        <v>-3996.62</v>
      </c>
    </row>
    <row r="601" spans="1:6" x14ac:dyDescent="0.25">
      <c r="A601" s="45" t="s">
        <v>182</v>
      </c>
      <c r="B601" s="39">
        <f>E602-E600</f>
        <v>4.3800000000046566</v>
      </c>
      <c r="C601" s="46">
        <f>F602-F600</f>
        <v>-13.75</v>
      </c>
      <c r="D601" s="46"/>
      <c r="E601" s="35"/>
      <c r="F601" s="47"/>
    </row>
    <row r="602" spans="1:6" x14ac:dyDescent="0.25">
      <c r="A602" s="39">
        <v>14.43</v>
      </c>
      <c r="B602" s="35"/>
      <c r="C602" s="39"/>
      <c r="D602" s="35" t="s">
        <v>89</v>
      </c>
      <c r="E602" s="35">
        <v>114679.92</v>
      </c>
      <c r="F602" s="47">
        <v>-4010.37</v>
      </c>
    </row>
    <row r="603" spans="1:6" x14ac:dyDescent="0.25">
      <c r="A603" s="35"/>
      <c r="B603" s="35"/>
      <c r="C603" s="35"/>
      <c r="D603" s="35"/>
      <c r="E603" s="35"/>
      <c r="F603" s="35"/>
    </row>
    <row r="604" spans="1:6" x14ac:dyDescent="0.25">
      <c r="A604" s="48" t="s">
        <v>195</v>
      </c>
      <c r="B604" s="35"/>
      <c r="C604" s="46"/>
      <c r="D604" s="46" t="s">
        <v>89</v>
      </c>
      <c r="E604" s="35">
        <v>114679.92</v>
      </c>
      <c r="F604" s="47">
        <v>-4010.37</v>
      </c>
    </row>
    <row r="605" spans="1:6" x14ac:dyDescent="0.25">
      <c r="A605" s="45" t="s">
        <v>182</v>
      </c>
      <c r="B605" s="35">
        <f>E606-E604</f>
        <v>4.3899999999994179</v>
      </c>
      <c r="C605" s="46">
        <f>F606-F604</f>
        <v>-13.75</v>
      </c>
      <c r="D605" s="46"/>
      <c r="E605" s="35"/>
      <c r="F605" s="47"/>
    </row>
    <row r="606" spans="1:6" x14ac:dyDescent="0.25">
      <c r="A606" s="39">
        <v>14.43</v>
      </c>
      <c r="B606" s="35"/>
      <c r="C606" s="39"/>
      <c r="D606" s="39" t="s">
        <v>90</v>
      </c>
      <c r="E606" s="35">
        <v>114684.31</v>
      </c>
      <c r="F606" s="47">
        <v>-4024.12</v>
      </c>
    </row>
    <row r="607" spans="1:6" x14ac:dyDescent="0.25">
      <c r="A607" s="35"/>
      <c r="B607" s="35"/>
      <c r="C607" s="35"/>
      <c r="D607" s="35"/>
      <c r="E607" s="35"/>
      <c r="F607" s="35"/>
    </row>
    <row r="608" spans="1:6" x14ac:dyDescent="0.25">
      <c r="A608" s="48" t="s">
        <v>196</v>
      </c>
      <c r="B608" s="35"/>
      <c r="C608" s="46"/>
      <c r="D608" s="46" t="s">
        <v>90</v>
      </c>
      <c r="E608" s="35">
        <v>114684.31</v>
      </c>
      <c r="F608" s="47">
        <v>-4024.12</v>
      </c>
    </row>
    <row r="609" spans="1:6" x14ac:dyDescent="0.25">
      <c r="A609" s="45" t="s">
        <v>182</v>
      </c>
      <c r="B609" s="35">
        <f>E610-E608</f>
        <v>4.3800000000046566</v>
      </c>
      <c r="C609" s="39">
        <f>F610-F608</f>
        <v>-13.740000000000236</v>
      </c>
      <c r="D609" s="39"/>
      <c r="E609" s="35"/>
      <c r="F609" s="47"/>
    </row>
    <row r="610" spans="1:6" x14ac:dyDescent="0.25">
      <c r="A610" s="39">
        <v>14.43</v>
      </c>
      <c r="B610" s="35"/>
      <c r="C610" s="39"/>
      <c r="D610" s="39" t="s">
        <v>91</v>
      </c>
      <c r="E610" s="35">
        <v>114688.69</v>
      </c>
      <c r="F610" s="47">
        <v>-4037.86</v>
      </c>
    </row>
    <row r="611" spans="1:6" x14ac:dyDescent="0.25">
      <c r="A611" s="35"/>
      <c r="B611" s="35"/>
      <c r="C611" s="35"/>
      <c r="D611" s="48"/>
      <c r="E611" s="35"/>
      <c r="F611" s="35"/>
    </row>
    <row r="612" spans="1:6" x14ac:dyDescent="0.25">
      <c r="A612" s="48" t="s">
        <v>197</v>
      </c>
      <c r="B612" s="35"/>
      <c r="C612" s="39"/>
      <c r="D612" s="39" t="s">
        <v>91</v>
      </c>
      <c r="E612" s="35">
        <v>114688.69</v>
      </c>
      <c r="F612" s="47">
        <v>-4037.86</v>
      </c>
    </row>
    <row r="613" spans="1:6" x14ac:dyDescent="0.25">
      <c r="A613" s="45" t="s">
        <v>182</v>
      </c>
      <c r="B613" s="35">
        <f>E614-E612</f>
        <v>4.3800000000046566</v>
      </c>
      <c r="C613" s="43">
        <f>F614-F612</f>
        <v>-13.75</v>
      </c>
      <c r="D613" s="46"/>
      <c r="E613" s="35"/>
      <c r="F613" s="47"/>
    </row>
    <row r="614" spans="1:6" x14ac:dyDescent="0.25">
      <c r="A614" s="39">
        <v>14.43</v>
      </c>
      <c r="B614" s="35"/>
      <c r="C614" s="39"/>
      <c r="D614" s="39" t="s">
        <v>92</v>
      </c>
      <c r="E614" s="35">
        <v>114693.07</v>
      </c>
      <c r="F614" s="47">
        <v>-4051.61</v>
      </c>
    </row>
    <row r="616" spans="1:6" x14ac:dyDescent="0.25">
      <c r="A616" s="48" t="s">
        <v>198</v>
      </c>
      <c r="B616" s="35"/>
      <c r="C616" s="35"/>
      <c r="D616" s="35" t="s">
        <v>92</v>
      </c>
      <c r="E616" s="35">
        <v>114693.07</v>
      </c>
      <c r="F616" s="47">
        <v>-4051.61</v>
      </c>
    </row>
    <row r="617" spans="1:6" x14ac:dyDescent="0.25">
      <c r="A617" s="45" t="s">
        <v>182</v>
      </c>
      <c r="B617" s="35">
        <f>E618-E616</f>
        <v>4.7399999999906868</v>
      </c>
      <c r="C617" s="35">
        <f>F618-F616</f>
        <v>-14.879999999999654</v>
      </c>
      <c r="D617" s="39"/>
      <c r="E617" s="35"/>
      <c r="F617" s="35"/>
    </row>
    <row r="618" spans="1:6" x14ac:dyDescent="0.25">
      <c r="A618" s="39">
        <v>15.62</v>
      </c>
      <c r="B618" s="35"/>
      <c r="C618" s="35"/>
      <c r="D618" s="35" t="s">
        <v>93</v>
      </c>
      <c r="E618" s="35">
        <v>114697.81</v>
      </c>
      <c r="F618" s="35">
        <v>-4066.49</v>
      </c>
    </row>
    <row r="619" spans="1:6" x14ac:dyDescent="0.25">
      <c r="A619" s="35"/>
      <c r="B619" s="35"/>
      <c r="C619" s="35"/>
      <c r="D619" s="35"/>
      <c r="E619" s="49"/>
      <c r="F619" s="50"/>
    </row>
    <row r="620" spans="1:6" x14ac:dyDescent="0.25">
      <c r="A620" s="48" t="s">
        <v>199</v>
      </c>
      <c r="B620" s="39"/>
      <c r="C620" s="39"/>
      <c r="D620" s="35" t="s">
        <v>93</v>
      </c>
      <c r="E620" s="35">
        <v>114697.81</v>
      </c>
      <c r="F620" s="35">
        <v>-4066.49</v>
      </c>
    </row>
    <row r="621" spans="1:6" x14ac:dyDescent="0.25">
      <c r="A621" s="45" t="s">
        <v>182</v>
      </c>
      <c r="B621" s="35">
        <f>E622-E620</f>
        <v>2.3680000000022119</v>
      </c>
      <c r="C621" s="35">
        <f>F622-F620</f>
        <v>-7.4329999999999927</v>
      </c>
      <c r="D621" s="35"/>
      <c r="E621" s="39"/>
      <c r="F621" s="39"/>
    </row>
    <row r="622" spans="1:6" x14ac:dyDescent="0.25">
      <c r="A622" s="39">
        <v>7.8</v>
      </c>
      <c r="B622" s="35"/>
      <c r="C622" s="35"/>
      <c r="D622" s="35" t="s">
        <v>200</v>
      </c>
      <c r="E622" s="39">
        <v>114700.178</v>
      </c>
      <c r="F622" s="39">
        <v>-4073.9229999999998</v>
      </c>
    </row>
    <row r="623" spans="1:6" x14ac:dyDescent="0.25">
      <c r="A623" s="35"/>
      <c r="B623" s="35"/>
      <c r="C623" s="35"/>
      <c r="D623" s="35"/>
      <c r="E623" s="39"/>
      <c r="F623" s="39"/>
    </row>
    <row r="624" spans="1:6" x14ac:dyDescent="0.25">
      <c r="A624" s="48" t="s">
        <v>201</v>
      </c>
      <c r="B624" s="35"/>
      <c r="C624" s="35"/>
      <c r="D624" s="35" t="s">
        <v>200</v>
      </c>
      <c r="E624" s="39">
        <v>114700.178</v>
      </c>
      <c r="F624" s="39">
        <v>-4073.9229999999998</v>
      </c>
    </row>
    <row r="625" spans="1:6" x14ac:dyDescent="0.25">
      <c r="A625" s="45" t="s">
        <v>182</v>
      </c>
      <c r="B625" s="35">
        <f>E626-E624</f>
        <v>1.8220000000001164</v>
      </c>
      <c r="C625" s="35">
        <f>F626-F624</f>
        <v>-5.7170000000000982</v>
      </c>
      <c r="D625" s="35"/>
      <c r="E625" s="39"/>
      <c r="F625" s="39"/>
    </row>
    <row r="626" spans="1:6" x14ac:dyDescent="0.25">
      <c r="A626" s="39">
        <v>6</v>
      </c>
      <c r="B626" s="35"/>
      <c r="C626" s="35"/>
      <c r="D626" s="38" t="s">
        <v>111</v>
      </c>
      <c r="E626" s="44">
        <v>114702</v>
      </c>
      <c r="F626" s="38">
        <v>-4079.64</v>
      </c>
    </row>
    <row r="628" spans="1:6" x14ac:dyDescent="0.25">
      <c r="A628" s="48" t="s">
        <v>202</v>
      </c>
      <c r="B628" s="35"/>
      <c r="C628" s="35"/>
      <c r="D628" s="38" t="s">
        <v>111</v>
      </c>
      <c r="E628" s="44">
        <v>114702</v>
      </c>
      <c r="F628" s="38">
        <v>-4079.64</v>
      </c>
    </row>
    <row r="629" spans="1:6" x14ac:dyDescent="0.25">
      <c r="A629" s="45" t="s">
        <v>181</v>
      </c>
      <c r="B629" s="39">
        <f>E630-E628</f>
        <v>-5.7309999999997672</v>
      </c>
      <c r="C629" s="39">
        <f>F630-F628</f>
        <v>-1.7750000000000909</v>
      </c>
      <c r="D629" s="35"/>
      <c r="E629" s="35"/>
      <c r="F629" s="35"/>
    </row>
    <row r="630" spans="1:6" x14ac:dyDescent="0.25">
      <c r="A630" s="39">
        <v>6</v>
      </c>
      <c r="B630" s="35"/>
      <c r="C630" s="35"/>
      <c r="D630" s="35" t="s">
        <v>203</v>
      </c>
      <c r="E630" s="39">
        <v>114696.269</v>
      </c>
      <c r="F630" s="39">
        <v>-4081.415</v>
      </c>
    </row>
    <row r="631" spans="1:6" x14ac:dyDescent="0.25">
      <c r="A631" s="35"/>
      <c r="B631" s="35"/>
      <c r="C631" s="35"/>
      <c r="D631" s="35"/>
      <c r="E631" s="39"/>
      <c r="F631" s="39"/>
    </row>
    <row r="632" spans="1:6" x14ac:dyDescent="0.25">
      <c r="A632" s="48" t="s">
        <v>204</v>
      </c>
      <c r="B632" s="35"/>
      <c r="C632" s="35"/>
      <c r="D632" s="35" t="s">
        <v>203</v>
      </c>
      <c r="E632" s="39">
        <v>114696.269</v>
      </c>
      <c r="F632" s="39">
        <v>-4081.415</v>
      </c>
    </row>
    <row r="633" spans="1:6" x14ac:dyDescent="0.25">
      <c r="A633" s="45" t="s">
        <v>181</v>
      </c>
      <c r="B633" s="39">
        <f>E634-E632</f>
        <v>-29.135999999998603</v>
      </c>
      <c r="C633" s="39">
        <f>F634-F632</f>
        <v>-9.0250000000000909</v>
      </c>
      <c r="D633" s="35"/>
      <c r="E633" s="39"/>
      <c r="F633" s="35"/>
    </row>
    <row r="634" spans="1:6" x14ac:dyDescent="0.25">
      <c r="A634" s="39">
        <v>30.5</v>
      </c>
      <c r="B634" s="35"/>
      <c r="C634" s="35"/>
      <c r="D634" s="35" t="s">
        <v>97</v>
      </c>
      <c r="E634" s="39">
        <v>114667.133</v>
      </c>
      <c r="F634" s="35">
        <v>-4090.44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88E8-065F-4C71-8409-9FA754B8A0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3FF5-0D2B-43EF-94AB-BC2D10EE4C5B}">
  <dimension ref="A1:G785"/>
  <sheetViews>
    <sheetView tabSelected="1" topLeftCell="A90" workbookViewId="0">
      <selection activeCell="H114" sqref="H114"/>
    </sheetView>
  </sheetViews>
  <sheetFormatPr defaultRowHeight="15.75" x14ac:dyDescent="0.25"/>
  <cols>
    <col min="1" max="1" width="14.140625" style="19" customWidth="1"/>
    <col min="2" max="3" width="9.42578125" style="18" bestFit="1" customWidth="1"/>
    <col min="4" max="4" width="10" style="19" customWidth="1"/>
    <col min="5" max="5" width="14.140625" style="19" customWidth="1"/>
    <col min="6" max="6" width="12.5703125" style="19" customWidth="1"/>
    <col min="7" max="11" width="9.140625" style="18"/>
    <col min="12" max="12" width="15.5703125" style="18" customWidth="1"/>
    <col min="13" max="13" width="14.140625" style="18" customWidth="1"/>
    <col min="14" max="256" width="9.140625" style="18"/>
    <col min="257" max="257" width="14.140625" style="18" customWidth="1"/>
    <col min="258" max="259" width="9.42578125" style="18" bestFit="1" customWidth="1"/>
    <col min="260" max="260" width="10" style="18" customWidth="1"/>
    <col min="261" max="261" width="14.140625" style="18" customWidth="1"/>
    <col min="262" max="262" width="12.5703125" style="18" customWidth="1"/>
    <col min="263" max="267" width="9.140625" style="18"/>
    <col min="268" max="268" width="15.5703125" style="18" customWidth="1"/>
    <col min="269" max="269" width="14.140625" style="18" customWidth="1"/>
    <col min="270" max="512" width="9.140625" style="18"/>
    <col min="513" max="513" width="14.140625" style="18" customWidth="1"/>
    <col min="514" max="515" width="9.42578125" style="18" bestFit="1" customWidth="1"/>
    <col min="516" max="516" width="10" style="18" customWidth="1"/>
    <col min="517" max="517" width="14.140625" style="18" customWidth="1"/>
    <col min="518" max="518" width="12.5703125" style="18" customWidth="1"/>
    <col min="519" max="523" width="9.140625" style="18"/>
    <col min="524" max="524" width="15.5703125" style="18" customWidth="1"/>
    <col min="525" max="525" width="14.140625" style="18" customWidth="1"/>
    <col min="526" max="768" width="9.140625" style="18"/>
    <col min="769" max="769" width="14.140625" style="18" customWidth="1"/>
    <col min="770" max="771" width="9.42578125" style="18" bestFit="1" customWidth="1"/>
    <col min="772" max="772" width="10" style="18" customWidth="1"/>
    <col min="773" max="773" width="14.140625" style="18" customWidth="1"/>
    <col min="774" max="774" width="12.5703125" style="18" customWidth="1"/>
    <col min="775" max="779" width="9.140625" style="18"/>
    <col min="780" max="780" width="15.5703125" style="18" customWidth="1"/>
    <col min="781" max="781" width="14.140625" style="18" customWidth="1"/>
    <col min="782" max="1024" width="9.140625" style="18"/>
    <col min="1025" max="1025" width="14.140625" style="18" customWidth="1"/>
    <col min="1026" max="1027" width="9.42578125" style="18" bestFit="1" customWidth="1"/>
    <col min="1028" max="1028" width="10" style="18" customWidth="1"/>
    <col min="1029" max="1029" width="14.140625" style="18" customWidth="1"/>
    <col min="1030" max="1030" width="12.5703125" style="18" customWidth="1"/>
    <col min="1031" max="1035" width="9.140625" style="18"/>
    <col min="1036" max="1036" width="15.5703125" style="18" customWidth="1"/>
    <col min="1037" max="1037" width="14.140625" style="18" customWidth="1"/>
    <col min="1038" max="1280" width="9.140625" style="18"/>
    <col min="1281" max="1281" width="14.140625" style="18" customWidth="1"/>
    <col min="1282" max="1283" width="9.42578125" style="18" bestFit="1" customWidth="1"/>
    <col min="1284" max="1284" width="10" style="18" customWidth="1"/>
    <col min="1285" max="1285" width="14.140625" style="18" customWidth="1"/>
    <col min="1286" max="1286" width="12.5703125" style="18" customWidth="1"/>
    <col min="1287" max="1291" width="9.140625" style="18"/>
    <col min="1292" max="1292" width="15.5703125" style="18" customWidth="1"/>
    <col min="1293" max="1293" width="14.140625" style="18" customWidth="1"/>
    <col min="1294" max="1536" width="9.140625" style="18"/>
    <col min="1537" max="1537" width="14.140625" style="18" customWidth="1"/>
    <col min="1538" max="1539" width="9.42578125" style="18" bestFit="1" customWidth="1"/>
    <col min="1540" max="1540" width="10" style="18" customWidth="1"/>
    <col min="1541" max="1541" width="14.140625" style="18" customWidth="1"/>
    <col min="1542" max="1542" width="12.5703125" style="18" customWidth="1"/>
    <col min="1543" max="1547" width="9.140625" style="18"/>
    <col min="1548" max="1548" width="15.5703125" style="18" customWidth="1"/>
    <col min="1549" max="1549" width="14.140625" style="18" customWidth="1"/>
    <col min="1550" max="1792" width="9.140625" style="18"/>
    <col min="1793" max="1793" width="14.140625" style="18" customWidth="1"/>
    <col min="1794" max="1795" width="9.42578125" style="18" bestFit="1" customWidth="1"/>
    <col min="1796" max="1796" width="10" style="18" customWidth="1"/>
    <col min="1797" max="1797" width="14.140625" style="18" customWidth="1"/>
    <col min="1798" max="1798" width="12.5703125" style="18" customWidth="1"/>
    <col min="1799" max="1803" width="9.140625" style="18"/>
    <col min="1804" max="1804" width="15.5703125" style="18" customWidth="1"/>
    <col min="1805" max="1805" width="14.140625" style="18" customWidth="1"/>
    <col min="1806" max="2048" width="9.140625" style="18"/>
    <col min="2049" max="2049" width="14.140625" style="18" customWidth="1"/>
    <col min="2050" max="2051" width="9.42578125" style="18" bestFit="1" customWidth="1"/>
    <col min="2052" max="2052" width="10" style="18" customWidth="1"/>
    <col min="2053" max="2053" width="14.140625" style="18" customWidth="1"/>
    <col min="2054" max="2054" width="12.5703125" style="18" customWidth="1"/>
    <col min="2055" max="2059" width="9.140625" style="18"/>
    <col min="2060" max="2060" width="15.5703125" style="18" customWidth="1"/>
    <col min="2061" max="2061" width="14.140625" style="18" customWidth="1"/>
    <col min="2062" max="2304" width="9.140625" style="18"/>
    <col min="2305" max="2305" width="14.140625" style="18" customWidth="1"/>
    <col min="2306" max="2307" width="9.42578125" style="18" bestFit="1" customWidth="1"/>
    <col min="2308" max="2308" width="10" style="18" customWidth="1"/>
    <col min="2309" max="2309" width="14.140625" style="18" customWidth="1"/>
    <col min="2310" max="2310" width="12.5703125" style="18" customWidth="1"/>
    <col min="2311" max="2315" width="9.140625" style="18"/>
    <col min="2316" max="2316" width="15.5703125" style="18" customWidth="1"/>
    <col min="2317" max="2317" width="14.140625" style="18" customWidth="1"/>
    <col min="2318" max="2560" width="9.140625" style="18"/>
    <col min="2561" max="2561" width="14.140625" style="18" customWidth="1"/>
    <col min="2562" max="2563" width="9.42578125" style="18" bestFit="1" customWidth="1"/>
    <col min="2564" max="2564" width="10" style="18" customWidth="1"/>
    <col min="2565" max="2565" width="14.140625" style="18" customWidth="1"/>
    <col min="2566" max="2566" width="12.5703125" style="18" customWidth="1"/>
    <col min="2567" max="2571" width="9.140625" style="18"/>
    <col min="2572" max="2572" width="15.5703125" style="18" customWidth="1"/>
    <col min="2573" max="2573" width="14.140625" style="18" customWidth="1"/>
    <col min="2574" max="2816" width="9.140625" style="18"/>
    <col min="2817" max="2817" width="14.140625" style="18" customWidth="1"/>
    <col min="2818" max="2819" width="9.42578125" style="18" bestFit="1" customWidth="1"/>
    <col min="2820" max="2820" width="10" style="18" customWidth="1"/>
    <col min="2821" max="2821" width="14.140625" style="18" customWidth="1"/>
    <col min="2822" max="2822" width="12.5703125" style="18" customWidth="1"/>
    <col min="2823" max="2827" width="9.140625" style="18"/>
    <col min="2828" max="2828" width="15.5703125" style="18" customWidth="1"/>
    <col min="2829" max="2829" width="14.140625" style="18" customWidth="1"/>
    <col min="2830" max="3072" width="9.140625" style="18"/>
    <col min="3073" max="3073" width="14.140625" style="18" customWidth="1"/>
    <col min="3074" max="3075" width="9.42578125" style="18" bestFit="1" customWidth="1"/>
    <col min="3076" max="3076" width="10" style="18" customWidth="1"/>
    <col min="3077" max="3077" width="14.140625" style="18" customWidth="1"/>
    <col min="3078" max="3078" width="12.5703125" style="18" customWidth="1"/>
    <col min="3079" max="3083" width="9.140625" style="18"/>
    <col min="3084" max="3084" width="15.5703125" style="18" customWidth="1"/>
    <col min="3085" max="3085" width="14.140625" style="18" customWidth="1"/>
    <col min="3086" max="3328" width="9.140625" style="18"/>
    <col min="3329" max="3329" width="14.140625" style="18" customWidth="1"/>
    <col min="3330" max="3331" width="9.42578125" style="18" bestFit="1" customWidth="1"/>
    <col min="3332" max="3332" width="10" style="18" customWidth="1"/>
    <col min="3333" max="3333" width="14.140625" style="18" customWidth="1"/>
    <col min="3334" max="3334" width="12.5703125" style="18" customWidth="1"/>
    <col min="3335" max="3339" width="9.140625" style="18"/>
    <col min="3340" max="3340" width="15.5703125" style="18" customWidth="1"/>
    <col min="3341" max="3341" width="14.140625" style="18" customWidth="1"/>
    <col min="3342" max="3584" width="9.140625" style="18"/>
    <col min="3585" max="3585" width="14.140625" style="18" customWidth="1"/>
    <col min="3586" max="3587" width="9.42578125" style="18" bestFit="1" customWidth="1"/>
    <col min="3588" max="3588" width="10" style="18" customWidth="1"/>
    <col min="3589" max="3589" width="14.140625" style="18" customWidth="1"/>
    <col min="3590" max="3590" width="12.5703125" style="18" customWidth="1"/>
    <col min="3591" max="3595" width="9.140625" style="18"/>
    <col min="3596" max="3596" width="15.5703125" style="18" customWidth="1"/>
    <col min="3597" max="3597" width="14.140625" style="18" customWidth="1"/>
    <col min="3598" max="3840" width="9.140625" style="18"/>
    <col min="3841" max="3841" width="14.140625" style="18" customWidth="1"/>
    <col min="3842" max="3843" width="9.42578125" style="18" bestFit="1" customWidth="1"/>
    <col min="3844" max="3844" width="10" style="18" customWidth="1"/>
    <col min="3845" max="3845" width="14.140625" style="18" customWidth="1"/>
    <col min="3846" max="3846" width="12.5703125" style="18" customWidth="1"/>
    <col min="3847" max="3851" width="9.140625" style="18"/>
    <col min="3852" max="3852" width="15.5703125" style="18" customWidth="1"/>
    <col min="3853" max="3853" width="14.140625" style="18" customWidth="1"/>
    <col min="3854" max="4096" width="9.140625" style="18"/>
    <col min="4097" max="4097" width="14.140625" style="18" customWidth="1"/>
    <col min="4098" max="4099" width="9.42578125" style="18" bestFit="1" customWidth="1"/>
    <col min="4100" max="4100" width="10" style="18" customWidth="1"/>
    <col min="4101" max="4101" width="14.140625" style="18" customWidth="1"/>
    <col min="4102" max="4102" width="12.5703125" style="18" customWidth="1"/>
    <col min="4103" max="4107" width="9.140625" style="18"/>
    <col min="4108" max="4108" width="15.5703125" style="18" customWidth="1"/>
    <col min="4109" max="4109" width="14.140625" style="18" customWidth="1"/>
    <col min="4110" max="4352" width="9.140625" style="18"/>
    <col min="4353" max="4353" width="14.140625" style="18" customWidth="1"/>
    <col min="4354" max="4355" width="9.42578125" style="18" bestFit="1" customWidth="1"/>
    <col min="4356" max="4356" width="10" style="18" customWidth="1"/>
    <col min="4357" max="4357" width="14.140625" style="18" customWidth="1"/>
    <col min="4358" max="4358" width="12.5703125" style="18" customWidth="1"/>
    <col min="4359" max="4363" width="9.140625" style="18"/>
    <col min="4364" max="4364" width="15.5703125" style="18" customWidth="1"/>
    <col min="4365" max="4365" width="14.140625" style="18" customWidth="1"/>
    <col min="4366" max="4608" width="9.140625" style="18"/>
    <col min="4609" max="4609" width="14.140625" style="18" customWidth="1"/>
    <col min="4610" max="4611" width="9.42578125" style="18" bestFit="1" customWidth="1"/>
    <col min="4612" max="4612" width="10" style="18" customWidth="1"/>
    <col min="4613" max="4613" width="14.140625" style="18" customWidth="1"/>
    <col min="4614" max="4614" width="12.5703125" style="18" customWidth="1"/>
    <col min="4615" max="4619" width="9.140625" style="18"/>
    <col min="4620" max="4620" width="15.5703125" style="18" customWidth="1"/>
    <col min="4621" max="4621" width="14.140625" style="18" customWidth="1"/>
    <col min="4622" max="4864" width="9.140625" style="18"/>
    <col min="4865" max="4865" width="14.140625" style="18" customWidth="1"/>
    <col min="4866" max="4867" width="9.42578125" style="18" bestFit="1" customWidth="1"/>
    <col min="4868" max="4868" width="10" style="18" customWidth="1"/>
    <col min="4869" max="4869" width="14.140625" style="18" customWidth="1"/>
    <col min="4870" max="4870" width="12.5703125" style="18" customWidth="1"/>
    <col min="4871" max="4875" width="9.140625" style="18"/>
    <col min="4876" max="4876" width="15.5703125" style="18" customWidth="1"/>
    <col min="4877" max="4877" width="14.140625" style="18" customWidth="1"/>
    <col min="4878" max="5120" width="9.140625" style="18"/>
    <col min="5121" max="5121" width="14.140625" style="18" customWidth="1"/>
    <col min="5122" max="5123" width="9.42578125" style="18" bestFit="1" customWidth="1"/>
    <col min="5124" max="5124" width="10" style="18" customWidth="1"/>
    <col min="5125" max="5125" width="14.140625" style="18" customWidth="1"/>
    <col min="5126" max="5126" width="12.5703125" style="18" customWidth="1"/>
    <col min="5127" max="5131" width="9.140625" style="18"/>
    <col min="5132" max="5132" width="15.5703125" style="18" customWidth="1"/>
    <col min="5133" max="5133" width="14.140625" style="18" customWidth="1"/>
    <col min="5134" max="5376" width="9.140625" style="18"/>
    <col min="5377" max="5377" width="14.140625" style="18" customWidth="1"/>
    <col min="5378" max="5379" width="9.42578125" style="18" bestFit="1" customWidth="1"/>
    <col min="5380" max="5380" width="10" style="18" customWidth="1"/>
    <col min="5381" max="5381" width="14.140625" style="18" customWidth="1"/>
    <col min="5382" max="5382" width="12.5703125" style="18" customWidth="1"/>
    <col min="5383" max="5387" width="9.140625" style="18"/>
    <col min="5388" max="5388" width="15.5703125" style="18" customWidth="1"/>
    <col min="5389" max="5389" width="14.140625" style="18" customWidth="1"/>
    <col min="5390" max="5632" width="9.140625" style="18"/>
    <col min="5633" max="5633" width="14.140625" style="18" customWidth="1"/>
    <col min="5634" max="5635" width="9.42578125" style="18" bestFit="1" customWidth="1"/>
    <col min="5636" max="5636" width="10" style="18" customWidth="1"/>
    <col min="5637" max="5637" width="14.140625" style="18" customWidth="1"/>
    <col min="5638" max="5638" width="12.5703125" style="18" customWidth="1"/>
    <col min="5639" max="5643" width="9.140625" style="18"/>
    <col min="5644" max="5644" width="15.5703125" style="18" customWidth="1"/>
    <col min="5645" max="5645" width="14.140625" style="18" customWidth="1"/>
    <col min="5646" max="5888" width="9.140625" style="18"/>
    <col min="5889" max="5889" width="14.140625" style="18" customWidth="1"/>
    <col min="5890" max="5891" width="9.42578125" style="18" bestFit="1" customWidth="1"/>
    <col min="5892" max="5892" width="10" style="18" customWidth="1"/>
    <col min="5893" max="5893" width="14.140625" style="18" customWidth="1"/>
    <col min="5894" max="5894" width="12.5703125" style="18" customWidth="1"/>
    <col min="5895" max="5899" width="9.140625" style="18"/>
    <col min="5900" max="5900" width="15.5703125" style="18" customWidth="1"/>
    <col min="5901" max="5901" width="14.140625" style="18" customWidth="1"/>
    <col min="5902" max="6144" width="9.140625" style="18"/>
    <col min="6145" max="6145" width="14.140625" style="18" customWidth="1"/>
    <col min="6146" max="6147" width="9.42578125" style="18" bestFit="1" customWidth="1"/>
    <col min="6148" max="6148" width="10" style="18" customWidth="1"/>
    <col min="6149" max="6149" width="14.140625" style="18" customWidth="1"/>
    <col min="6150" max="6150" width="12.5703125" style="18" customWidth="1"/>
    <col min="6151" max="6155" width="9.140625" style="18"/>
    <col min="6156" max="6156" width="15.5703125" style="18" customWidth="1"/>
    <col min="6157" max="6157" width="14.140625" style="18" customWidth="1"/>
    <col min="6158" max="6400" width="9.140625" style="18"/>
    <col min="6401" max="6401" width="14.140625" style="18" customWidth="1"/>
    <col min="6402" max="6403" width="9.42578125" style="18" bestFit="1" customWidth="1"/>
    <col min="6404" max="6404" width="10" style="18" customWidth="1"/>
    <col min="6405" max="6405" width="14.140625" style="18" customWidth="1"/>
    <col min="6406" max="6406" width="12.5703125" style="18" customWidth="1"/>
    <col min="6407" max="6411" width="9.140625" style="18"/>
    <col min="6412" max="6412" width="15.5703125" style="18" customWidth="1"/>
    <col min="6413" max="6413" width="14.140625" style="18" customWidth="1"/>
    <col min="6414" max="6656" width="9.140625" style="18"/>
    <col min="6657" max="6657" width="14.140625" style="18" customWidth="1"/>
    <col min="6658" max="6659" width="9.42578125" style="18" bestFit="1" customWidth="1"/>
    <col min="6660" max="6660" width="10" style="18" customWidth="1"/>
    <col min="6661" max="6661" width="14.140625" style="18" customWidth="1"/>
    <col min="6662" max="6662" width="12.5703125" style="18" customWidth="1"/>
    <col min="6663" max="6667" width="9.140625" style="18"/>
    <col min="6668" max="6668" width="15.5703125" style="18" customWidth="1"/>
    <col min="6669" max="6669" width="14.140625" style="18" customWidth="1"/>
    <col min="6670" max="6912" width="9.140625" style="18"/>
    <col min="6913" max="6913" width="14.140625" style="18" customWidth="1"/>
    <col min="6914" max="6915" width="9.42578125" style="18" bestFit="1" customWidth="1"/>
    <col min="6916" max="6916" width="10" style="18" customWidth="1"/>
    <col min="6917" max="6917" width="14.140625" style="18" customWidth="1"/>
    <col min="6918" max="6918" width="12.5703125" style="18" customWidth="1"/>
    <col min="6919" max="6923" width="9.140625" style="18"/>
    <col min="6924" max="6924" width="15.5703125" style="18" customWidth="1"/>
    <col min="6925" max="6925" width="14.140625" style="18" customWidth="1"/>
    <col min="6926" max="7168" width="9.140625" style="18"/>
    <col min="7169" max="7169" width="14.140625" style="18" customWidth="1"/>
    <col min="7170" max="7171" width="9.42578125" style="18" bestFit="1" customWidth="1"/>
    <col min="7172" max="7172" width="10" style="18" customWidth="1"/>
    <col min="7173" max="7173" width="14.140625" style="18" customWidth="1"/>
    <col min="7174" max="7174" width="12.5703125" style="18" customWidth="1"/>
    <col min="7175" max="7179" width="9.140625" style="18"/>
    <col min="7180" max="7180" width="15.5703125" style="18" customWidth="1"/>
    <col min="7181" max="7181" width="14.140625" style="18" customWidth="1"/>
    <col min="7182" max="7424" width="9.140625" style="18"/>
    <col min="7425" max="7425" width="14.140625" style="18" customWidth="1"/>
    <col min="7426" max="7427" width="9.42578125" style="18" bestFit="1" customWidth="1"/>
    <col min="7428" max="7428" width="10" style="18" customWidth="1"/>
    <col min="7429" max="7429" width="14.140625" style="18" customWidth="1"/>
    <col min="7430" max="7430" width="12.5703125" style="18" customWidth="1"/>
    <col min="7431" max="7435" width="9.140625" style="18"/>
    <col min="7436" max="7436" width="15.5703125" style="18" customWidth="1"/>
    <col min="7437" max="7437" width="14.140625" style="18" customWidth="1"/>
    <col min="7438" max="7680" width="9.140625" style="18"/>
    <col min="7681" max="7681" width="14.140625" style="18" customWidth="1"/>
    <col min="7682" max="7683" width="9.42578125" style="18" bestFit="1" customWidth="1"/>
    <col min="7684" max="7684" width="10" style="18" customWidth="1"/>
    <col min="7685" max="7685" width="14.140625" style="18" customWidth="1"/>
    <col min="7686" max="7686" width="12.5703125" style="18" customWidth="1"/>
    <col min="7687" max="7691" width="9.140625" style="18"/>
    <col min="7692" max="7692" width="15.5703125" style="18" customWidth="1"/>
    <col min="7693" max="7693" width="14.140625" style="18" customWidth="1"/>
    <col min="7694" max="7936" width="9.140625" style="18"/>
    <col min="7937" max="7937" width="14.140625" style="18" customWidth="1"/>
    <col min="7938" max="7939" width="9.42578125" style="18" bestFit="1" customWidth="1"/>
    <col min="7940" max="7940" width="10" style="18" customWidth="1"/>
    <col min="7941" max="7941" width="14.140625" style="18" customWidth="1"/>
    <col min="7942" max="7942" width="12.5703125" style="18" customWidth="1"/>
    <col min="7943" max="7947" width="9.140625" style="18"/>
    <col min="7948" max="7948" width="15.5703125" style="18" customWidth="1"/>
    <col min="7949" max="7949" width="14.140625" style="18" customWidth="1"/>
    <col min="7950" max="8192" width="9.140625" style="18"/>
    <col min="8193" max="8193" width="14.140625" style="18" customWidth="1"/>
    <col min="8194" max="8195" width="9.42578125" style="18" bestFit="1" customWidth="1"/>
    <col min="8196" max="8196" width="10" style="18" customWidth="1"/>
    <col min="8197" max="8197" width="14.140625" style="18" customWidth="1"/>
    <col min="8198" max="8198" width="12.5703125" style="18" customWidth="1"/>
    <col min="8199" max="8203" width="9.140625" style="18"/>
    <col min="8204" max="8204" width="15.5703125" style="18" customWidth="1"/>
    <col min="8205" max="8205" width="14.140625" style="18" customWidth="1"/>
    <col min="8206" max="8448" width="9.140625" style="18"/>
    <col min="8449" max="8449" width="14.140625" style="18" customWidth="1"/>
    <col min="8450" max="8451" width="9.42578125" style="18" bestFit="1" customWidth="1"/>
    <col min="8452" max="8452" width="10" style="18" customWidth="1"/>
    <col min="8453" max="8453" width="14.140625" style="18" customWidth="1"/>
    <col min="8454" max="8454" width="12.5703125" style="18" customWidth="1"/>
    <col min="8455" max="8459" width="9.140625" style="18"/>
    <col min="8460" max="8460" width="15.5703125" style="18" customWidth="1"/>
    <col min="8461" max="8461" width="14.140625" style="18" customWidth="1"/>
    <col min="8462" max="8704" width="9.140625" style="18"/>
    <col min="8705" max="8705" width="14.140625" style="18" customWidth="1"/>
    <col min="8706" max="8707" width="9.42578125" style="18" bestFit="1" customWidth="1"/>
    <col min="8708" max="8708" width="10" style="18" customWidth="1"/>
    <col min="8709" max="8709" width="14.140625" style="18" customWidth="1"/>
    <col min="8710" max="8710" width="12.5703125" style="18" customWidth="1"/>
    <col min="8711" max="8715" width="9.140625" style="18"/>
    <col min="8716" max="8716" width="15.5703125" style="18" customWidth="1"/>
    <col min="8717" max="8717" width="14.140625" style="18" customWidth="1"/>
    <col min="8718" max="8960" width="9.140625" style="18"/>
    <col min="8961" max="8961" width="14.140625" style="18" customWidth="1"/>
    <col min="8962" max="8963" width="9.42578125" style="18" bestFit="1" customWidth="1"/>
    <col min="8964" max="8964" width="10" style="18" customWidth="1"/>
    <col min="8965" max="8965" width="14.140625" style="18" customWidth="1"/>
    <col min="8966" max="8966" width="12.5703125" style="18" customWidth="1"/>
    <col min="8967" max="8971" width="9.140625" style="18"/>
    <col min="8972" max="8972" width="15.5703125" style="18" customWidth="1"/>
    <col min="8973" max="8973" width="14.140625" style="18" customWidth="1"/>
    <col min="8974" max="9216" width="9.140625" style="18"/>
    <col min="9217" max="9217" width="14.140625" style="18" customWidth="1"/>
    <col min="9218" max="9219" width="9.42578125" style="18" bestFit="1" customWidth="1"/>
    <col min="9220" max="9220" width="10" style="18" customWidth="1"/>
    <col min="9221" max="9221" width="14.140625" style="18" customWidth="1"/>
    <col min="9222" max="9222" width="12.5703125" style="18" customWidth="1"/>
    <col min="9223" max="9227" width="9.140625" style="18"/>
    <col min="9228" max="9228" width="15.5703125" style="18" customWidth="1"/>
    <col min="9229" max="9229" width="14.140625" style="18" customWidth="1"/>
    <col min="9230" max="9472" width="9.140625" style="18"/>
    <col min="9473" max="9473" width="14.140625" style="18" customWidth="1"/>
    <col min="9474" max="9475" width="9.42578125" style="18" bestFit="1" customWidth="1"/>
    <col min="9476" max="9476" width="10" style="18" customWidth="1"/>
    <col min="9477" max="9477" width="14.140625" style="18" customWidth="1"/>
    <col min="9478" max="9478" width="12.5703125" style="18" customWidth="1"/>
    <col min="9479" max="9483" width="9.140625" style="18"/>
    <col min="9484" max="9484" width="15.5703125" style="18" customWidth="1"/>
    <col min="9485" max="9485" width="14.140625" style="18" customWidth="1"/>
    <col min="9486" max="9728" width="9.140625" style="18"/>
    <col min="9729" max="9729" width="14.140625" style="18" customWidth="1"/>
    <col min="9730" max="9731" width="9.42578125" style="18" bestFit="1" customWidth="1"/>
    <col min="9732" max="9732" width="10" style="18" customWidth="1"/>
    <col min="9733" max="9733" width="14.140625" style="18" customWidth="1"/>
    <col min="9734" max="9734" width="12.5703125" style="18" customWidth="1"/>
    <col min="9735" max="9739" width="9.140625" style="18"/>
    <col min="9740" max="9740" width="15.5703125" style="18" customWidth="1"/>
    <col min="9741" max="9741" width="14.140625" style="18" customWidth="1"/>
    <col min="9742" max="9984" width="9.140625" style="18"/>
    <col min="9985" max="9985" width="14.140625" style="18" customWidth="1"/>
    <col min="9986" max="9987" width="9.42578125" style="18" bestFit="1" customWidth="1"/>
    <col min="9988" max="9988" width="10" style="18" customWidth="1"/>
    <col min="9989" max="9989" width="14.140625" style="18" customWidth="1"/>
    <col min="9990" max="9990" width="12.5703125" style="18" customWidth="1"/>
    <col min="9991" max="9995" width="9.140625" style="18"/>
    <col min="9996" max="9996" width="15.5703125" style="18" customWidth="1"/>
    <col min="9997" max="9997" width="14.140625" style="18" customWidth="1"/>
    <col min="9998" max="10240" width="9.140625" style="18"/>
    <col min="10241" max="10241" width="14.140625" style="18" customWidth="1"/>
    <col min="10242" max="10243" width="9.42578125" style="18" bestFit="1" customWidth="1"/>
    <col min="10244" max="10244" width="10" style="18" customWidth="1"/>
    <col min="10245" max="10245" width="14.140625" style="18" customWidth="1"/>
    <col min="10246" max="10246" width="12.5703125" style="18" customWidth="1"/>
    <col min="10247" max="10251" width="9.140625" style="18"/>
    <col min="10252" max="10252" width="15.5703125" style="18" customWidth="1"/>
    <col min="10253" max="10253" width="14.140625" style="18" customWidth="1"/>
    <col min="10254" max="10496" width="9.140625" style="18"/>
    <col min="10497" max="10497" width="14.140625" style="18" customWidth="1"/>
    <col min="10498" max="10499" width="9.42578125" style="18" bestFit="1" customWidth="1"/>
    <col min="10500" max="10500" width="10" style="18" customWidth="1"/>
    <col min="10501" max="10501" width="14.140625" style="18" customWidth="1"/>
    <col min="10502" max="10502" width="12.5703125" style="18" customWidth="1"/>
    <col min="10503" max="10507" width="9.140625" style="18"/>
    <col min="10508" max="10508" width="15.5703125" style="18" customWidth="1"/>
    <col min="10509" max="10509" width="14.140625" style="18" customWidth="1"/>
    <col min="10510" max="10752" width="9.140625" style="18"/>
    <col min="10753" max="10753" width="14.140625" style="18" customWidth="1"/>
    <col min="10754" max="10755" width="9.42578125" style="18" bestFit="1" customWidth="1"/>
    <col min="10756" max="10756" width="10" style="18" customWidth="1"/>
    <col min="10757" max="10757" width="14.140625" style="18" customWidth="1"/>
    <col min="10758" max="10758" width="12.5703125" style="18" customWidth="1"/>
    <col min="10759" max="10763" width="9.140625" style="18"/>
    <col min="10764" max="10764" width="15.5703125" style="18" customWidth="1"/>
    <col min="10765" max="10765" width="14.140625" style="18" customWidth="1"/>
    <col min="10766" max="11008" width="9.140625" style="18"/>
    <col min="11009" max="11009" width="14.140625" style="18" customWidth="1"/>
    <col min="11010" max="11011" width="9.42578125" style="18" bestFit="1" customWidth="1"/>
    <col min="11012" max="11012" width="10" style="18" customWidth="1"/>
    <col min="11013" max="11013" width="14.140625" style="18" customWidth="1"/>
    <col min="11014" max="11014" width="12.5703125" style="18" customWidth="1"/>
    <col min="11015" max="11019" width="9.140625" style="18"/>
    <col min="11020" max="11020" width="15.5703125" style="18" customWidth="1"/>
    <col min="11021" max="11021" width="14.140625" style="18" customWidth="1"/>
    <col min="11022" max="11264" width="9.140625" style="18"/>
    <col min="11265" max="11265" width="14.140625" style="18" customWidth="1"/>
    <col min="11266" max="11267" width="9.42578125" style="18" bestFit="1" customWidth="1"/>
    <col min="11268" max="11268" width="10" style="18" customWidth="1"/>
    <col min="11269" max="11269" width="14.140625" style="18" customWidth="1"/>
    <col min="11270" max="11270" width="12.5703125" style="18" customWidth="1"/>
    <col min="11271" max="11275" width="9.140625" style="18"/>
    <col min="11276" max="11276" width="15.5703125" style="18" customWidth="1"/>
    <col min="11277" max="11277" width="14.140625" style="18" customWidth="1"/>
    <col min="11278" max="11520" width="9.140625" style="18"/>
    <col min="11521" max="11521" width="14.140625" style="18" customWidth="1"/>
    <col min="11522" max="11523" width="9.42578125" style="18" bestFit="1" customWidth="1"/>
    <col min="11524" max="11524" width="10" style="18" customWidth="1"/>
    <col min="11525" max="11525" width="14.140625" style="18" customWidth="1"/>
    <col min="11526" max="11526" width="12.5703125" style="18" customWidth="1"/>
    <col min="11527" max="11531" width="9.140625" style="18"/>
    <col min="11532" max="11532" width="15.5703125" style="18" customWidth="1"/>
    <col min="11533" max="11533" width="14.140625" style="18" customWidth="1"/>
    <col min="11534" max="11776" width="9.140625" style="18"/>
    <col min="11777" max="11777" width="14.140625" style="18" customWidth="1"/>
    <col min="11778" max="11779" width="9.42578125" style="18" bestFit="1" customWidth="1"/>
    <col min="11780" max="11780" width="10" style="18" customWidth="1"/>
    <col min="11781" max="11781" width="14.140625" style="18" customWidth="1"/>
    <col min="11782" max="11782" width="12.5703125" style="18" customWidth="1"/>
    <col min="11783" max="11787" width="9.140625" style="18"/>
    <col min="11788" max="11788" width="15.5703125" style="18" customWidth="1"/>
    <col min="11789" max="11789" width="14.140625" style="18" customWidth="1"/>
    <col min="11790" max="12032" width="9.140625" style="18"/>
    <col min="12033" max="12033" width="14.140625" style="18" customWidth="1"/>
    <col min="12034" max="12035" width="9.42578125" style="18" bestFit="1" customWidth="1"/>
    <col min="12036" max="12036" width="10" style="18" customWidth="1"/>
    <col min="12037" max="12037" width="14.140625" style="18" customWidth="1"/>
    <col min="12038" max="12038" width="12.5703125" style="18" customWidth="1"/>
    <col min="12039" max="12043" width="9.140625" style="18"/>
    <col min="12044" max="12044" width="15.5703125" style="18" customWidth="1"/>
    <col min="12045" max="12045" width="14.140625" style="18" customWidth="1"/>
    <col min="12046" max="12288" width="9.140625" style="18"/>
    <col min="12289" max="12289" width="14.140625" style="18" customWidth="1"/>
    <col min="12290" max="12291" width="9.42578125" style="18" bestFit="1" customWidth="1"/>
    <col min="12292" max="12292" width="10" style="18" customWidth="1"/>
    <col min="12293" max="12293" width="14.140625" style="18" customWidth="1"/>
    <col min="12294" max="12294" width="12.5703125" style="18" customWidth="1"/>
    <col min="12295" max="12299" width="9.140625" style="18"/>
    <col min="12300" max="12300" width="15.5703125" style="18" customWidth="1"/>
    <col min="12301" max="12301" width="14.140625" style="18" customWidth="1"/>
    <col min="12302" max="12544" width="9.140625" style="18"/>
    <col min="12545" max="12545" width="14.140625" style="18" customWidth="1"/>
    <col min="12546" max="12547" width="9.42578125" style="18" bestFit="1" customWidth="1"/>
    <col min="12548" max="12548" width="10" style="18" customWidth="1"/>
    <col min="12549" max="12549" width="14.140625" style="18" customWidth="1"/>
    <col min="12550" max="12550" width="12.5703125" style="18" customWidth="1"/>
    <col min="12551" max="12555" width="9.140625" style="18"/>
    <col min="12556" max="12556" width="15.5703125" style="18" customWidth="1"/>
    <col min="12557" max="12557" width="14.140625" style="18" customWidth="1"/>
    <col min="12558" max="12800" width="9.140625" style="18"/>
    <col min="12801" max="12801" width="14.140625" style="18" customWidth="1"/>
    <col min="12802" max="12803" width="9.42578125" style="18" bestFit="1" customWidth="1"/>
    <col min="12804" max="12804" width="10" style="18" customWidth="1"/>
    <col min="12805" max="12805" width="14.140625" style="18" customWidth="1"/>
    <col min="12806" max="12806" width="12.5703125" style="18" customWidth="1"/>
    <col min="12807" max="12811" width="9.140625" style="18"/>
    <col min="12812" max="12812" width="15.5703125" style="18" customWidth="1"/>
    <col min="12813" max="12813" width="14.140625" style="18" customWidth="1"/>
    <col min="12814" max="13056" width="9.140625" style="18"/>
    <col min="13057" max="13057" width="14.140625" style="18" customWidth="1"/>
    <col min="13058" max="13059" width="9.42578125" style="18" bestFit="1" customWidth="1"/>
    <col min="13060" max="13060" width="10" style="18" customWidth="1"/>
    <col min="13061" max="13061" width="14.140625" style="18" customWidth="1"/>
    <col min="13062" max="13062" width="12.5703125" style="18" customWidth="1"/>
    <col min="13063" max="13067" width="9.140625" style="18"/>
    <col min="13068" max="13068" width="15.5703125" style="18" customWidth="1"/>
    <col min="13069" max="13069" width="14.140625" style="18" customWidth="1"/>
    <col min="13070" max="13312" width="9.140625" style="18"/>
    <col min="13313" max="13313" width="14.140625" style="18" customWidth="1"/>
    <col min="13314" max="13315" width="9.42578125" style="18" bestFit="1" customWidth="1"/>
    <col min="13316" max="13316" width="10" style="18" customWidth="1"/>
    <col min="13317" max="13317" width="14.140625" style="18" customWidth="1"/>
    <col min="13318" max="13318" width="12.5703125" style="18" customWidth="1"/>
    <col min="13319" max="13323" width="9.140625" style="18"/>
    <col min="13324" max="13324" width="15.5703125" style="18" customWidth="1"/>
    <col min="13325" max="13325" width="14.140625" style="18" customWidth="1"/>
    <col min="13326" max="13568" width="9.140625" style="18"/>
    <col min="13569" max="13569" width="14.140625" style="18" customWidth="1"/>
    <col min="13570" max="13571" width="9.42578125" style="18" bestFit="1" customWidth="1"/>
    <col min="13572" max="13572" width="10" style="18" customWidth="1"/>
    <col min="13573" max="13573" width="14.140625" style="18" customWidth="1"/>
    <col min="13574" max="13574" width="12.5703125" style="18" customWidth="1"/>
    <col min="13575" max="13579" width="9.140625" style="18"/>
    <col min="13580" max="13580" width="15.5703125" style="18" customWidth="1"/>
    <col min="13581" max="13581" width="14.140625" style="18" customWidth="1"/>
    <col min="13582" max="13824" width="9.140625" style="18"/>
    <col min="13825" max="13825" width="14.140625" style="18" customWidth="1"/>
    <col min="13826" max="13827" width="9.42578125" style="18" bestFit="1" customWidth="1"/>
    <col min="13828" max="13828" width="10" style="18" customWidth="1"/>
    <col min="13829" max="13829" width="14.140625" style="18" customWidth="1"/>
    <col min="13830" max="13830" width="12.5703125" style="18" customWidth="1"/>
    <col min="13831" max="13835" width="9.140625" style="18"/>
    <col min="13836" max="13836" width="15.5703125" style="18" customWidth="1"/>
    <col min="13837" max="13837" width="14.140625" style="18" customWidth="1"/>
    <col min="13838" max="14080" width="9.140625" style="18"/>
    <col min="14081" max="14081" width="14.140625" style="18" customWidth="1"/>
    <col min="14082" max="14083" width="9.42578125" style="18" bestFit="1" customWidth="1"/>
    <col min="14084" max="14084" width="10" style="18" customWidth="1"/>
    <col min="14085" max="14085" width="14.140625" style="18" customWidth="1"/>
    <col min="14086" max="14086" width="12.5703125" style="18" customWidth="1"/>
    <col min="14087" max="14091" width="9.140625" style="18"/>
    <col min="14092" max="14092" width="15.5703125" style="18" customWidth="1"/>
    <col min="14093" max="14093" width="14.140625" style="18" customWidth="1"/>
    <col min="14094" max="14336" width="9.140625" style="18"/>
    <col min="14337" max="14337" width="14.140625" style="18" customWidth="1"/>
    <col min="14338" max="14339" width="9.42578125" style="18" bestFit="1" customWidth="1"/>
    <col min="14340" max="14340" width="10" style="18" customWidth="1"/>
    <col min="14341" max="14341" width="14.140625" style="18" customWidth="1"/>
    <col min="14342" max="14342" width="12.5703125" style="18" customWidth="1"/>
    <col min="14343" max="14347" width="9.140625" style="18"/>
    <col min="14348" max="14348" width="15.5703125" style="18" customWidth="1"/>
    <col min="14349" max="14349" width="14.140625" style="18" customWidth="1"/>
    <col min="14350" max="14592" width="9.140625" style="18"/>
    <col min="14593" max="14593" width="14.140625" style="18" customWidth="1"/>
    <col min="14594" max="14595" width="9.42578125" style="18" bestFit="1" customWidth="1"/>
    <col min="14596" max="14596" width="10" style="18" customWidth="1"/>
    <col min="14597" max="14597" width="14.140625" style="18" customWidth="1"/>
    <col min="14598" max="14598" width="12.5703125" style="18" customWidth="1"/>
    <col min="14599" max="14603" width="9.140625" style="18"/>
    <col min="14604" max="14604" width="15.5703125" style="18" customWidth="1"/>
    <col min="14605" max="14605" width="14.140625" style="18" customWidth="1"/>
    <col min="14606" max="14848" width="9.140625" style="18"/>
    <col min="14849" max="14849" width="14.140625" style="18" customWidth="1"/>
    <col min="14850" max="14851" width="9.42578125" style="18" bestFit="1" customWidth="1"/>
    <col min="14852" max="14852" width="10" style="18" customWidth="1"/>
    <col min="14853" max="14853" width="14.140625" style="18" customWidth="1"/>
    <col min="14854" max="14854" width="12.5703125" style="18" customWidth="1"/>
    <col min="14855" max="14859" width="9.140625" style="18"/>
    <col min="14860" max="14860" width="15.5703125" style="18" customWidth="1"/>
    <col min="14861" max="14861" width="14.140625" style="18" customWidth="1"/>
    <col min="14862" max="15104" width="9.140625" style="18"/>
    <col min="15105" max="15105" width="14.140625" style="18" customWidth="1"/>
    <col min="15106" max="15107" width="9.42578125" style="18" bestFit="1" customWidth="1"/>
    <col min="15108" max="15108" width="10" style="18" customWidth="1"/>
    <col min="15109" max="15109" width="14.140625" style="18" customWidth="1"/>
    <col min="15110" max="15110" width="12.5703125" style="18" customWidth="1"/>
    <col min="15111" max="15115" width="9.140625" style="18"/>
    <col min="15116" max="15116" width="15.5703125" style="18" customWidth="1"/>
    <col min="15117" max="15117" width="14.140625" style="18" customWidth="1"/>
    <col min="15118" max="15360" width="9.140625" style="18"/>
    <col min="15361" max="15361" width="14.140625" style="18" customWidth="1"/>
    <col min="15362" max="15363" width="9.42578125" style="18" bestFit="1" customWidth="1"/>
    <col min="15364" max="15364" width="10" style="18" customWidth="1"/>
    <col min="15365" max="15365" width="14.140625" style="18" customWidth="1"/>
    <col min="15366" max="15366" width="12.5703125" style="18" customWidth="1"/>
    <col min="15367" max="15371" width="9.140625" style="18"/>
    <col min="15372" max="15372" width="15.5703125" style="18" customWidth="1"/>
    <col min="15373" max="15373" width="14.140625" style="18" customWidth="1"/>
    <col min="15374" max="15616" width="9.140625" style="18"/>
    <col min="15617" max="15617" width="14.140625" style="18" customWidth="1"/>
    <col min="15618" max="15619" width="9.42578125" style="18" bestFit="1" customWidth="1"/>
    <col min="15620" max="15620" width="10" style="18" customWidth="1"/>
    <col min="15621" max="15621" width="14.140625" style="18" customWidth="1"/>
    <col min="15622" max="15622" width="12.5703125" style="18" customWidth="1"/>
    <col min="15623" max="15627" width="9.140625" style="18"/>
    <col min="15628" max="15628" width="15.5703125" style="18" customWidth="1"/>
    <col min="15629" max="15629" width="14.140625" style="18" customWidth="1"/>
    <col min="15630" max="15872" width="9.140625" style="18"/>
    <col min="15873" max="15873" width="14.140625" style="18" customWidth="1"/>
    <col min="15874" max="15875" width="9.42578125" style="18" bestFit="1" customWidth="1"/>
    <col min="15876" max="15876" width="10" style="18" customWidth="1"/>
    <col min="15877" max="15877" width="14.140625" style="18" customWidth="1"/>
    <col min="15878" max="15878" width="12.5703125" style="18" customWidth="1"/>
    <col min="15879" max="15883" width="9.140625" style="18"/>
    <col min="15884" max="15884" width="15.5703125" style="18" customWidth="1"/>
    <col min="15885" max="15885" width="14.140625" style="18" customWidth="1"/>
    <col min="15886" max="16128" width="9.140625" style="18"/>
    <col min="16129" max="16129" width="14.140625" style="18" customWidth="1"/>
    <col min="16130" max="16131" width="9.42578125" style="18" bestFit="1" customWidth="1"/>
    <col min="16132" max="16132" width="10" style="18" customWidth="1"/>
    <col min="16133" max="16133" width="14.140625" style="18" customWidth="1"/>
    <col min="16134" max="16134" width="12.5703125" style="18" customWidth="1"/>
    <col min="16135" max="16139" width="9.140625" style="18"/>
    <col min="16140" max="16140" width="15.5703125" style="18" customWidth="1"/>
    <col min="16141" max="16141" width="14.140625" style="18" customWidth="1"/>
    <col min="16142" max="16384" width="9.140625" style="18"/>
  </cols>
  <sheetData>
    <row r="1" spans="1:7" x14ac:dyDescent="0.25">
      <c r="C1" s="33" t="s">
        <v>175</v>
      </c>
    </row>
    <row r="2" spans="1:7" x14ac:dyDescent="0.25">
      <c r="A2" s="19" t="s">
        <v>151</v>
      </c>
      <c r="B2" s="22" t="s">
        <v>176</v>
      </c>
      <c r="C2" s="34" t="s">
        <v>177</v>
      </c>
      <c r="D2" s="19" t="s">
        <v>178</v>
      </c>
      <c r="E2" s="19" t="s">
        <v>126</v>
      </c>
      <c r="F2" s="19" t="s">
        <v>127</v>
      </c>
    </row>
    <row r="3" spans="1:7" x14ac:dyDescent="0.25">
      <c r="A3" s="48" t="s">
        <v>327</v>
      </c>
      <c r="B3" s="35"/>
      <c r="C3" s="19"/>
      <c r="D3" s="36" t="s">
        <v>111</v>
      </c>
      <c r="E3" s="32">
        <v>114702</v>
      </c>
      <c r="F3" s="36">
        <v>-4079.64</v>
      </c>
      <c r="G3" s="30" t="s">
        <v>113</v>
      </c>
    </row>
    <row r="4" spans="1:7" x14ac:dyDescent="0.25">
      <c r="A4" s="37" t="s">
        <v>212</v>
      </c>
      <c r="B4" s="27">
        <f>E6-E3</f>
        <v>-248.59299999999348</v>
      </c>
      <c r="C4" s="27">
        <f>F6-F3</f>
        <v>-77.003000000000156</v>
      </c>
      <c r="D4" s="19" t="s">
        <v>98</v>
      </c>
      <c r="E4" s="39">
        <v>114453.40700000001</v>
      </c>
      <c r="F4" s="39">
        <v>-4156.643</v>
      </c>
    </row>
    <row r="5" spans="1:7" x14ac:dyDescent="0.25">
      <c r="A5" s="35">
        <v>260.25</v>
      </c>
      <c r="B5" s="35"/>
      <c r="C5" s="19"/>
      <c r="E5" s="23">
        <v>0</v>
      </c>
      <c r="F5" s="23">
        <v>0</v>
      </c>
    </row>
    <row r="6" spans="1:7" x14ac:dyDescent="0.25">
      <c r="C6" s="69" t="s">
        <v>180</v>
      </c>
      <c r="D6" s="69"/>
      <c r="E6" s="44">
        <v>114453.40700000001</v>
      </c>
      <c r="F6" s="44">
        <v>-4156.643</v>
      </c>
    </row>
    <row r="8" spans="1:7" x14ac:dyDescent="0.25">
      <c r="A8" s="48" t="s">
        <v>209</v>
      </c>
      <c r="D8" s="18" t="s">
        <v>98</v>
      </c>
      <c r="E8" s="39">
        <v>114453.40700000001</v>
      </c>
      <c r="F8" s="39">
        <v>-4156.643</v>
      </c>
    </row>
    <row r="9" spans="1:7" x14ac:dyDescent="0.25">
      <c r="A9" s="45" t="s">
        <v>210</v>
      </c>
      <c r="B9" s="27">
        <f>E11-E8</f>
        <v>-3.3790000000008149</v>
      </c>
      <c r="C9" s="27">
        <f>F11-F8</f>
        <v>10.605000000000473</v>
      </c>
      <c r="D9" s="18" t="s">
        <v>99</v>
      </c>
      <c r="E9" s="39">
        <v>114450.01700000001</v>
      </c>
      <c r="F9" s="39">
        <v>-4146.0510000000004</v>
      </c>
    </row>
    <row r="10" spans="1:7" x14ac:dyDescent="0.25">
      <c r="A10" s="39">
        <v>11.13</v>
      </c>
      <c r="D10" s="18"/>
      <c r="E10" s="27">
        <f>E11-E9</f>
        <v>1.0999999998603016E-2</v>
      </c>
      <c r="F10" s="27">
        <f>F11-F9</f>
        <v>1.3000000000829459E-2</v>
      </c>
    </row>
    <row r="11" spans="1:7" x14ac:dyDescent="0.25">
      <c r="A11" s="39"/>
      <c r="D11" s="30" t="s">
        <v>328</v>
      </c>
      <c r="E11" s="44">
        <v>114450.02800000001</v>
      </c>
      <c r="F11" s="44">
        <v>-4146.0379999999996</v>
      </c>
    </row>
    <row r="12" spans="1:7" x14ac:dyDescent="0.25">
      <c r="A12" s="18"/>
      <c r="D12" s="18"/>
      <c r="E12" s="18"/>
      <c r="F12" s="18"/>
    </row>
    <row r="13" spans="1:7" x14ac:dyDescent="0.25">
      <c r="A13" s="48" t="s">
        <v>211</v>
      </c>
      <c r="D13" s="18" t="s">
        <v>99</v>
      </c>
      <c r="E13" s="39">
        <v>114450.02800000001</v>
      </c>
      <c r="F13" s="39">
        <v>-4146.0379999999996</v>
      </c>
    </row>
    <row r="14" spans="1:7" x14ac:dyDescent="0.25">
      <c r="A14" s="45" t="s">
        <v>212</v>
      </c>
      <c r="B14" s="27">
        <f>E16-E13</f>
        <v>8.5969999999942956</v>
      </c>
      <c r="C14" s="27">
        <f>F16-F13</f>
        <v>2.6629999999995562</v>
      </c>
      <c r="D14" s="18" t="s">
        <v>100</v>
      </c>
      <c r="E14" s="18">
        <v>114458.628</v>
      </c>
      <c r="F14" s="27">
        <v>-4143.3630000000003</v>
      </c>
    </row>
    <row r="15" spans="1:7" x14ac:dyDescent="0.25">
      <c r="A15" s="39">
        <v>9</v>
      </c>
      <c r="D15" s="18"/>
      <c r="E15" s="27">
        <f>E16-E14</f>
        <v>-2.9999999969732016E-3</v>
      </c>
      <c r="F15" s="27">
        <f>F16-F14</f>
        <v>-1.1999999999716238E-2</v>
      </c>
    </row>
    <row r="16" spans="1:7" x14ac:dyDescent="0.25">
      <c r="A16" s="39"/>
      <c r="D16" s="30" t="s">
        <v>328</v>
      </c>
      <c r="E16" s="44">
        <v>114458.625</v>
      </c>
      <c r="F16" s="44">
        <v>-4143.375</v>
      </c>
    </row>
    <row r="17" spans="1:6" x14ac:dyDescent="0.25">
      <c r="A17" s="18"/>
      <c r="D17" s="18"/>
      <c r="E17" s="18"/>
      <c r="F17" s="18"/>
    </row>
    <row r="18" spans="1:6" x14ac:dyDescent="0.25">
      <c r="A18" s="48" t="s">
        <v>283</v>
      </c>
      <c r="D18" s="18" t="s">
        <v>100</v>
      </c>
      <c r="E18" s="39">
        <v>114458.625</v>
      </c>
      <c r="F18" s="39">
        <v>-4143.375</v>
      </c>
    </row>
    <row r="19" spans="1:6" x14ac:dyDescent="0.25">
      <c r="A19" s="45" t="s">
        <v>210</v>
      </c>
      <c r="B19" s="27">
        <f>E21-E18</f>
        <v>-1.0149999999994179</v>
      </c>
      <c r="C19" s="27">
        <f>F21-F18</f>
        <v>3.1859999999996944</v>
      </c>
      <c r="D19" s="71" t="s">
        <v>1</v>
      </c>
      <c r="E19" s="39">
        <v>114457.61</v>
      </c>
      <c r="F19" s="39">
        <v>-4140.1890000000003</v>
      </c>
    </row>
    <row r="20" spans="1:6" x14ac:dyDescent="0.25">
      <c r="A20" s="18">
        <v>3.34</v>
      </c>
      <c r="D20" s="18"/>
      <c r="E20" s="27">
        <f>E21-E19</f>
        <v>0</v>
      </c>
      <c r="F20" s="27">
        <f>F21-F19</f>
        <v>0</v>
      </c>
    </row>
    <row r="21" spans="1:6" x14ac:dyDescent="0.25">
      <c r="A21" s="18"/>
      <c r="D21" s="30" t="s">
        <v>328</v>
      </c>
      <c r="E21" s="44">
        <v>114457.61</v>
      </c>
      <c r="F21" s="44">
        <v>-4140.1890000000003</v>
      </c>
    </row>
    <row r="22" spans="1:6" x14ac:dyDescent="0.25">
      <c r="A22" s="18"/>
      <c r="D22" s="18"/>
      <c r="E22" s="18"/>
      <c r="F22" s="18"/>
    </row>
    <row r="23" spans="1:6" x14ac:dyDescent="0.25">
      <c r="A23" s="48" t="s">
        <v>284</v>
      </c>
      <c r="D23" s="71" t="s">
        <v>1</v>
      </c>
      <c r="E23" s="39">
        <v>114457.61</v>
      </c>
      <c r="F23" s="39">
        <v>-4140.1890000000003</v>
      </c>
    </row>
    <row r="24" spans="1:6" x14ac:dyDescent="0.25">
      <c r="A24" s="45" t="s">
        <v>210</v>
      </c>
      <c r="B24" s="27">
        <f>E26-E23</f>
        <v>-1.7179999999934807</v>
      </c>
      <c r="C24" s="27">
        <f>F26-F23</f>
        <v>5.3900000000003274</v>
      </c>
      <c r="D24" s="71" t="s">
        <v>101</v>
      </c>
      <c r="E24" s="39">
        <v>114455.89200000001</v>
      </c>
      <c r="F24" s="39">
        <v>-4134.799</v>
      </c>
    </row>
    <row r="25" spans="1:6" x14ac:dyDescent="0.25">
      <c r="A25" s="39">
        <v>5.6559999999999997</v>
      </c>
      <c r="D25" s="18"/>
      <c r="E25" s="27">
        <f>E26-E24</f>
        <v>0</v>
      </c>
      <c r="F25" s="27">
        <f>F26-F24</f>
        <v>0</v>
      </c>
    </row>
    <row r="26" spans="1:6" x14ac:dyDescent="0.25">
      <c r="A26" s="39"/>
      <c r="D26" s="30" t="s">
        <v>328</v>
      </c>
      <c r="E26" s="44">
        <v>114455.89200000001</v>
      </c>
      <c r="F26" s="44">
        <v>-4134.799</v>
      </c>
    </row>
    <row r="27" spans="1:6" x14ac:dyDescent="0.25">
      <c r="A27" s="18"/>
      <c r="D27" s="18"/>
      <c r="E27" s="18"/>
      <c r="F27" s="18"/>
    </row>
    <row r="28" spans="1:6" x14ac:dyDescent="0.25">
      <c r="A28" s="48" t="s">
        <v>285</v>
      </c>
      <c r="D28" s="71" t="s">
        <v>101</v>
      </c>
      <c r="E28" s="39">
        <v>114455.89200000001</v>
      </c>
      <c r="F28" s="39">
        <v>-4134.799</v>
      </c>
    </row>
    <row r="29" spans="1:6" x14ac:dyDescent="0.25">
      <c r="A29" s="45" t="s">
        <v>286</v>
      </c>
      <c r="B29" s="27">
        <f>E31-E28</f>
        <v>-5.6650000000081491</v>
      </c>
      <c r="C29" s="27">
        <f>F31-F28</f>
        <v>2.956000000000131</v>
      </c>
      <c r="D29" s="71" t="s">
        <v>102</v>
      </c>
      <c r="E29" s="39">
        <v>114450.227</v>
      </c>
      <c r="F29" s="39">
        <v>-4131.8429999999998</v>
      </c>
    </row>
    <row r="30" spans="1:6" x14ac:dyDescent="0.25">
      <c r="A30" s="18">
        <v>5.66</v>
      </c>
      <c r="D30" s="18"/>
      <c r="E30" s="27">
        <f>E31-E29</f>
        <v>0</v>
      </c>
      <c r="F30" s="27">
        <f>F31-F29</f>
        <v>0</v>
      </c>
    </row>
    <row r="31" spans="1:6" x14ac:dyDescent="0.25">
      <c r="A31" s="18"/>
      <c r="D31" s="30" t="s">
        <v>328</v>
      </c>
      <c r="E31" s="44">
        <v>114450.227</v>
      </c>
      <c r="F31" s="44">
        <v>-4131.8429999999998</v>
      </c>
    </row>
    <row r="32" spans="1:6" x14ac:dyDescent="0.25">
      <c r="A32" s="18"/>
      <c r="D32" s="18"/>
      <c r="E32" s="18"/>
      <c r="F32" s="18"/>
    </row>
    <row r="33" spans="1:6" x14ac:dyDescent="0.25">
      <c r="A33" s="48" t="s">
        <v>287</v>
      </c>
      <c r="D33" s="71" t="s">
        <v>102</v>
      </c>
      <c r="E33" s="39">
        <v>114450.227</v>
      </c>
      <c r="F33" s="39">
        <v>-4131.8429999999998</v>
      </c>
    </row>
    <row r="34" spans="1:6" x14ac:dyDescent="0.25">
      <c r="A34" s="45" t="s">
        <v>210</v>
      </c>
      <c r="B34" s="27">
        <f>E36-E33</f>
        <v>-1.9750000000058208</v>
      </c>
      <c r="C34" s="27">
        <f>F36-F33</f>
        <v>6.1970000000001164</v>
      </c>
      <c r="D34" s="71" t="s">
        <v>2</v>
      </c>
      <c r="E34" s="39">
        <v>114448.25199999999</v>
      </c>
      <c r="F34" s="39">
        <v>-4125.6459999999997</v>
      </c>
    </row>
    <row r="35" spans="1:6" x14ac:dyDescent="0.25">
      <c r="A35" s="18">
        <v>6.5</v>
      </c>
      <c r="D35" s="18"/>
      <c r="E35" s="27">
        <f>E36-E34</f>
        <v>0</v>
      </c>
      <c r="F35" s="27">
        <f>F36-F34</f>
        <v>0</v>
      </c>
    </row>
    <row r="36" spans="1:6" x14ac:dyDescent="0.25">
      <c r="A36" s="18"/>
      <c r="D36" s="30" t="s">
        <v>328</v>
      </c>
      <c r="E36" s="44">
        <v>114448.25199999999</v>
      </c>
      <c r="F36" s="44">
        <v>-4125.6459999999997</v>
      </c>
    </row>
    <row r="37" spans="1:6" x14ac:dyDescent="0.25">
      <c r="A37" s="18"/>
      <c r="D37" s="18"/>
      <c r="E37" s="18"/>
      <c r="F37" s="18"/>
    </row>
    <row r="38" spans="1:6" x14ac:dyDescent="0.25">
      <c r="A38" s="48" t="s">
        <v>288</v>
      </c>
      <c r="D38" s="71" t="s">
        <v>2</v>
      </c>
      <c r="E38" s="39">
        <v>114448.25199999999</v>
      </c>
      <c r="F38" s="39">
        <v>-4125.6459999999997</v>
      </c>
    </row>
    <row r="39" spans="1:6" x14ac:dyDescent="0.25">
      <c r="A39" s="45" t="s">
        <v>210</v>
      </c>
      <c r="B39" s="27">
        <f>E41-E38</f>
        <v>-4.7249999999912689</v>
      </c>
      <c r="C39" s="27">
        <f>F41-F38</f>
        <v>14.826000000000022</v>
      </c>
      <c r="D39" s="71" t="s">
        <v>3</v>
      </c>
      <c r="E39" s="39">
        <v>114443.527</v>
      </c>
      <c r="F39" s="39">
        <v>-4110.82</v>
      </c>
    </row>
    <row r="40" spans="1:6" x14ac:dyDescent="0.25">
      <c r="A40" s="39">
        <v>15.56</v>
      </c>
      <c r="D40" s="18"/>
      <c r="E40" s="27">
        <f>E41-E39</f>
        <v>0</v>
      </c>
      <c r="F40" s="27">
        <f>F41-F39</f>
        <v>0</v>
      </c>
    </row>
    <row r="41" spans="1:6" x14ac:dyDescent="0.25">
      <c r="A41" s="39"/>
      <c r="D41" s="30" t="s">
        <v>328</v>
      </c>
      <c r="E41" s="44">
        <v>114443.527</v>
      </c>
      <c r="F41" s="44">
        <v>-4110.82</v>
      </c>
    </row>
    <row r="42" spans="1:6" x14ac:dyDescent="0.25">
      <c r="A42" s="18"/>
      <c r="D42" s="18"/>
      <c r="E42" s="18"/>
      <c r="F42" s="18"/>
    </row>
    <row r="43" spans="1:6" x14ac:dyDescent="0.25">
      <c r="A43" s="48" t="s">
        <v>289</v>
      </c>
      <c r="D43" s="71" t="s">
        <v>3</v>
      </c>
      <c r="E43" s="39">
        <v>114443.527</v>
      </c>
      <c r="F43" s="39">
        <v>-4110.82</v>
      </c>
    </row>
    <row r="44" spans="1:6" x14ac:dyDescent="0.25">
      <c r="A44" s="45" t="s">
        <v>210</v>
      </c>
      <c r="B44" s="27">
        <f>E46-E43</f>
        <v>-4.7250000000058208</v>
      </c>
      <c r="C44" s="27">
        <f>F46-F43</f>
        <v>14.825999999999567</v>
      </c>
      <c r="D44" s="71" t="s">
        <v>4</v>
      </c>
      <c r="E44" s="39">
        <v>114438.802</v>
      </c>
      <c r="F44" s="39">
        <v>-4095.9940000000001</v>
      </c>
    </row>
    <row r="45" spans="1:6" x14ac:dyDescent="0.25">
      <c r="A45" s="39">
        <v>15.56</v>
      </c>
      <c r="D45" s="18"/>
      <c r="E45" s="27">
        <f>E46-E44</f>
        <v>0</v>
      </c>
      <c r="F45" s="27">
        <f>F46-F44</f>
        <v>0</v>
      </c>
    </row>
    <row r="46" spans="1:6" x14ac:dyDescent="0.25">
      <c r="A46" s="39"/>
      <c r="D46" s="30" t="s">
        <v>328</v>
      </c>
      <c r="E46" s="39">
        <v>114438.802</v>
      </c>
      <c r="F46" s="39">
        <v>-4095.9940000000001</v>
      </c>
    </row>
    <row r="47" spans="1:6" x14ac:dyDescent="0.25">
      <c r="A47" s="18"/>
      <c r="D47" s="18"/>
      <c r="E47" s="18"/>
      <c r="F47" s="18"/>
    </row>
    <row r="48" spans="1:6" x14ac:dyDescent="0.25">
      <c r="A48" s="48" t="s">
        <v>290</v>
      </c>
      <c r="D48" s="71" t="s">
        <v>103</v>
      </c>
      <c r="E48" s="39">
        <v>114435.348</v>
      </c>
      <c r="F48" s="39">
        <v>-4085.1550000000002</v>
      </c>
    </row>
    <row r="49" spans="1:6" x14ac:dyDescent="0.25">
      <c r="A49" s="45" t="s">
        <v>210</v>
      </c>
      <c r="B49" s="27">
        <f>E51-E48</f>
        <v>2.9320000000006985</v>
      </c>
      <c r="C49" s="27">
        <f>F51-F48</f>
        <v>5.6190000000001419</v>
      </c>
      <c r="D49" s="71" t="s">
        <v>4</v>
      </c>
      <c r="E49" s="39">
        <v>114438.802</v>
      </c>
      <c r="F49" s="39">
        <v>-4095.9940000000001</v>
      </c>
    </row>
    <row r="50" spans="1:6" x14ac:dyDescent="0.25">
      <c r="A50" s="39">
        <v>11.38</v>
      </c>
      <c r="D50" s="18"/>
      <c r="E50" s="27">
        <f>E51-E49</f>
        <v>-0.52199999999720603</v>
      </c>
      <c r="F50" s="27">
        <f>F51-F49</f>
        <v>16.458000000000084</v>
      </c>
    </row>
    <row r="51" spans="1:6" x14ac:dyDescent="0.25">
      <c r="A51" s="39"/>
      <c r="D51" s="30" t="s">
        <v>328</v>
      </c>
      <c r="E51" s="44">
        <v>114438.28</v>
      </c>
      <c r="F51" s="44">
        <v>-4079.5360000000001</v>
      </c>
    </row>
    <row r="52" spans="1:6" x14ac:dyDescent="0.25">
      <c r="A52" s="18"/>
      <c r="D52" s="18"/>
      <c r="E52" s="18"/>
      <c r="F52" s="18"/>
    </row>
    <row r="53" spans="1:6" x14ac:dyDescent="0.25">
      <c r="A53" s="48" t="s">
        <v>291</v>
      </c>
      <c r="D53" s="18" t="s">
        <v>103</v>
      </c>
      <c r="E53" s="39">
        <v>114435.348</v>
      </c>
      <c r="F53" s="39">
        <v>-4085.1550000000002</v>
      </c>
    </row>
    <row r="54" spans="1:6" x14ac:dyDescent="0.25">
      <c r="A54" s="45" t="s">
        <v>292</v>
      </c>
      <c r="B54" s="27">
        <f>E56-E53</f>
        <v>2.9320000000006985</v>
      </c>
      <c r="C54" s="27">
        <f>F56-F53</f>
        <v>5.6190000000001419</v>
      </c>
      <c r="D54" s="18" t="s">
        <v>104</v>
      </c>
      <c r="E54" s="18">
        <v>114438.272</v>
      </c>
      <c r="F54" s="18">
        <v>-4079.5279999999998</v>
      </c>
    </row>
    <row r="55" spans="1:6" x14ac:dyDescent="0.25">
      <c r="A55" s="39">
        <v>6.3380000000000001</v>
      </c>
      <c r="D55" s="18"/>
      <c r="E55" s="27">
        <f>E56-E54</f>
        <v>8.0000000016298145E-3</v>
      </c>
      <c r="F55" s="27">
        <f>F56-F54</f>
        <v>-8.0000000002655725E-3</v>
      </c>
    </row>
    <row r="56" spans="1:6" x14ac:dyDescent="0.25">
      <c r="A56" s="39"/>
      <c r="D56" s="30" t="s">
        <v>328</v>
      </c>
      <c r="E56" s="44">
        <v>114438.28</v>
      </c>
      <c r="F56" s="44">
        <v>-4079.5360000000001</v>
      </c>
    </row>
    <row r="57" spans="1:6" x14ac:dyDescent="0.25">
      <c r="A57" s="18"/>
      <c r="D57" s="18"/>
      <c r="E57" s="18"/>
      <c r="F57" s="18"/>
    </row>
    <row r="58" spans="1:6" x14ac:dyDescent="0.25">
      <c r="A58" s="48" t="s">
        <v>293</v>
      </c>
      <c r="D58" s="18" t="s">
        <v>104</v>
      </c>
      <c r="E58" s="39">
        <v>114438.28</v>
      </c>
      <c r="F58" s="39">
        <v>-4079.5360000000001</v>
      </c>
    </row>
    <row r="59" spans="1:6" x14ac:dyDescent="0.25">
      <c r="A59" s="45" t="s">
        <v>212</v>
      </c>
      <c r="B59" s="27">
        <f>E61-E58</f>
        <v>26.756999999997788</v>
      </c>
      <c r="C59" s="27">
        <f>F61-F58</f>
        <v>8.2880000000000109</v>
      </c>
      <c r="D59" s="18" t="s">
        <v>10</v>
      </c>
      <c r="E59" s="18">
        <v>114465.05899999999</v>
      </c>
      <c r="F59" s="27">
        <v>-4071.248</v>
      </c>
    </row>
    <row r="60" spans="1:6" x14ac:dyDescent="0.25">
      <c r="A60" s="18">
        <v>28.01</v>
      </c>
      <c r="D60" s="18"/>
      <c r="E60" s="27">
        <f>E61-E59</f>
        <v>-2.1999999997206032E-2</v>
      </c>
      <c r="F60" s="27">
        <f>F61-F59</f>
        <v>0</v>
      </c>
    </row>
    <row r="61" spans="1:6" x14ac:dyDescent="0.25">
      <c r="A61" s="18"/>
      <c r="D61" s="30" t="s">
        <v>328</v>
      </c>
      <c r="E61" s="44">
        <v>114465.037</v>
      </c>
      <c r="F61" s="44">
        <v>-4071.248</v>
      </c>
    </row>
    <row r="62" spans="1:6" x14ac:dyDescent="0.25">
      <c r="A62" s="18"/>
      <c r="D62" s="18"/>
      <c r="E62" s="18"/>
      <c r="F62" s="18"/>
    </row>
    <row r="63" spans="1:6" x14ac:dyDescent="0.25">
      <c r="A63" s="48" t="s">
        <v>294</v>
      </c>
      <c r="D63" s="18" t="s">
        <v>10</v>
      </c>
      <c r="E63" s="39">
        <v>114465.037</v>
      </c>
      <c r="F63" s="39">
        <v>-4071.248</v>
      </c>
    </row>
    <row r="64" spans="1:6" x14ac:dyDescent="0.25">
      <c r="A64" s="45" t="s">
        <v>295</v>
      </c>
      <c r="B64" s="27">
        <f>E66-E63</f>
        <v>4.8209999999962747</v>
      </c>
      <c r="C64" s="27">
        <f>F66-F63</f>
        <v>-15.126999999999953</v>
      </c>
      <c r="D64" s="18" t="s">
        <v>9</v>
      </c>
      <c r="E64" s="18">
        <v>114469.857</v>
      </c>
      <c r="F64" s="27">
        <v>-4086.3679999999999</v>
      </c>
    </row>
    <row r="65" spans="1:6" x14ac:dyDescent="0.25">
      <c r="A65" s="39">
        <v>15.88</v>
      </c>
      <c r="D65" s="18"/>
      <c r="E65" s="27">
        <f>E66-E64</f>
        <v>9.9999998928979039E-4</v>
      </c>
      <c r="F65" s="27">
        <f>F66-F64</f>
        <v>-7.0000000000618456E-3</v>
      </c>
    </row>
    <row r="66" spans="1:6" x14ac:dyDescent="0.25">
      <c r="A66" s="39"/>
      <c r="D66" s="30" t="s">
        <v>328</v>
      </c>
      <c r="E66" s="44">
        <v>114469.85799999999</v>
      </c>
      <c r="F66" s="44">
        <v>-4086.375</v>
      </c>
    </row>
    <row r="67" spans="1:6" x14ac:dyDescent="0.25">
      <c r="A67" s="18"/>
      <c r="D67" s="18"/>
      <c r="E67" s="18"/>
      <c r="F67" s="18"/>
    </row>
    <row r="68" spans="1:6" x14ac:dyDescent="0.25">
      <c r="A68" s="48" t="s">
        <v>296</v>
      </c>
      <c r="D68" s="18" t="s">
        <v>9</v>
      </c>
      <c r="E68" s="39">
        <v>114469.85799999999</v>
      </c>
      <c r="F68" s="39">
        <v>-4086.375</v>
      </c>
    </row>
    <row r="69" spans="1:6" x14ac:dyDescent="0.25">
      <c r="A69" s="45" t="s">
        <v>295</v>
      </c>
      <c r="B69" s="27">
        <f>E71-E68</f>
        <v>4.7250000000058208</v>
      </c>
      <c r="C69" s="27">
        <f>F71-F68</f>
        <v>-14.826000000000022</v>
      </c>
      <c r="D69" s="18" t="s">
        <v>8</v>
      </c>
      <c r="E69" s="18">
        <v>114474.572</v>
      </c>
      <c r="F69" s="18">
        <v>-4101.21</v>
      </c>
    </row>
    <row r="70" spans="1:6" x14ac:dyDescent="0.25">
      <c r="A70" s="39">
        <v>15.56</v>
      </c>
      <c r="D70" s="18"/>
      <c r="E70" s="27">
        <f>E71-E69</f>
        <v>1.0999999998603016E-2</v>
      </c>
      <c r="F70" s="27">
        <f>F71-F69</f>
        <v>9.0000000000145519E-3</v>
      </c>
    </row>
    <row r="71" spans="1:6" x14ac:dyDescent="0.25">
      <c r="A71" s="39"/>
      <c r="D71" s="30" t="s">
        <v>328</v>
      </c>
      <c r="E71" s="44">
        <v>114474.583</v>
      </c>
      <c r="F71" s="44">
        <v>-4101.201</v>
      </c>
    </row>
    <row r="72" spans="1:6" x14ac:dyDescent="0.25">
      <c r="A72" s="18"/>
      <c r="D72" s="18"/>
      <c r="E72" s="18"/>
      <c r="F72" s="18"/>
    </row>
    <row r="73" spans="1:6" x14ac:dyDescent="0.25">
      <c r="A73" s="48" t="s">
        <v>297</v>
      </c>
      <c r="D73" s="18" t="s">
        <v>8</v>
      </c>
      <c r="E73" s="39">
        <v>114474.583</v>
      </c>
      <c r="F73" s="39">
        <v>-4101.201</v>
      </c>
    </row>
    <row r="74" spans="1:6" x14ac:dyDescent="0.25">
      <c r="A74" s="45" t="s">
        <v>295</v>
      </c>
      <c r="B74" s="27">
        <f>E76-E73</f>
        <v>4.7240000000019791</v>
      </c>
      <c r="C74" s="27">
        <f>F76-F73</f>
        <v>-14.826000000000022</v>
      </c>
      <c r="D74" s="18" t="s">
        <v>7</v>
      </c>
      <c r="E74" s="18">
        <v>114479.307</v>
      </c>
      <c r="F74" s="27">
        <v>-4116.0119999999997</v>
      </c>
    </row>
    <row r="75" spans="1:6" x14ac:dyDescent="0.25">
      <c r="A75" s="39">
        <v>15.56</v>
      </c>
      <c r="D75" s="18"/>
      <c r="E75" s="27">
        <f>E76-E74</f>
        <v>0</v>
      </c>
      <c r="F75" s="27">
        <f>F76-F74</f>
        <v>-1.5000000000327418E-2</v>
      </c>
    </row>
    <row r="76" spans="1:6" x14ac:dyDescent="0.25">
      <c r="A76" s="39"/>
      <c r="D76" s="30" t="s">
        <v>328</v>
      </c>
      <c r="E76" s="44">
        <v>114479.307</v>
      </c>
      <c r="F76" s="44">
        <v>-4116.027</v>
      </c>
    </row>
    <row r="77" spans="1:6" x14ac:dyDescent="0.25">
      <c r="A77" s="18"/>
      <c r="D77" s="18"/>
      <c r="E77" s="18"/>
      <c r="F77" s="18"/>
    </row>
    <row r="78" spans="1:6" x14ac:dyDescent="0.25">
      <c r="A78" s="48" t="s">
        <v>298</v>
      </c>
      <c r="D78" s="18" t="s">
        <v>7</v>
      </c>
      <c r="E78" s="39">
        <v>114479.307</v>
      </c>
      <c r="F78" s="39">
        <v>-4116.027</v>
      </c>
    </row>
    <row r="79" spans="1:6" x14ac:dyDescent="0.25">
      <c r="A79" s="45" t="s">
        <v>295</v>
      </c>
      <c r="B79" s="27">
        <f>E81-E78</f>
        <v>5.05899999999383</v>
      </c>
      <c r="C79" s="27">
        <f>F81-F78</f>
        <v>-15.873999999999796</v>
      </c>
      <c r="D79" s="18" t="s">
        <v>6</v>
      </c>
      <c r="E79" s="18">
        <v>114484.38499999999</v>
      </c>
      <c r="F79" s="27">
        <v>-4131.915</v>
      </c>
    </row>
    <row r="80" spans="1:6" x14ac:dyDescent="0.25">
      <c r="A80" s="39">
        <v>16.66</v>
      </c>
      <c r="D80" s="18"/>
      <c r="E80" s="27">
        <f>E81-E79</f>
        <v>-1.9000000000232831E-2</v>
      </c>
      <c r="F80" s="27">
        <f>F81-F79</f>
        <v>1.4000000000123691E-2</v>
      </c>
    </row>
    <row r="81" spans="1:6" x14ac:dyDescent="0.25">
      <c r="A81" s="39"/>
      <c r="D81" s="30" t="s">
        <v>328</v>
      </c>
      <c r="E81" s="44">
        <v>114484.36599999999</v>
      </c>
      <c r="F81" s="44">
        <v>-4131.9009999999998</v>
      </c>
    </row>
    <row r="82" spans="1:6" x14ac:dyDescent="0.25">
      <c r="A82" s="18"/>
      <c r="D82" s="18"/>
      <c r="E82" s="18"/>
      <c r="F82" s="18"/>
    </row>
    <row r="83" spans="1:6" x14ac:dyDescent="0.25">
      <c r="A83" s="48" t="s">
        <v>299</v>
      </c>
      <c r="D83" s="18" t="s">
        <v>6</v>
      </c>
      <c r="E83" s="39">
        <v>114484.36599999999</v>
      </c>
      <c r="F83" s="39">
        <v>-4131.9009999999998</v>
      </c>
    </row>
    <row r="84" spans="1:6" x14ac:dyDescent="0.25">
      <c r="A84" s="45" t="s">
        <v>295</v>
      </c>
      <c r="B84" s="27">
        <f>E86-E83</f>
        <v>4.3940000000002328</v>
      </c>
      <c r="C84" s="27">
        <f>F86-F83</f>
        <v>-13.78899999999976</v>
      </c>
      <c r="D84" s="18" t="s">
        <v>5</v>
      </c>
      <c r="E84" s="18">
        <v>114488.76700000001</v>
      </c>
      <c r="F84" s="27">
        <v>-4145.7550000000001</v>
      </c>
    </row>
    <row r="85" spans="1:6" x14ac:dyDescent="0.25">
      <c r="A85" s="18">
        <v>14.47</v>
      </c>
      <c r="D85" s="18"/>
      <c r="E85" s="27">
        <f>E86-E84</f>
        <v>-7.0000000123400241E-3</v>
      </c>
      <c r="F85" s="27">
        <f>F86-F84</f>
        <v>6.5000000000509317E-2</v>
      </c>
    </row>
    <row r="86" spans="1:6" x14ac:dyDescent="0.25">
      <c r="A86" s="18"/>
      <c r="D86" s="30" t="s">
        <v>328</v>
      </c>
      <c r="E86" s="30">
        <v>114488.76</v>
      </c>
      <c r="F86" s="30">
        <v>-4145.6899999999996</v>
      </c>
    </row>
    <row r="87" spans="1:6" x14ac:dyDescent="0.25">
      <c r="A87" s="18"/>
      <c r="D87" s="18"/>
      <c r="E87" s="18"/>
      <c r="F87" s="18"/>
    </row>
    <row r="88" spans="1:6" x14ac:dyDescent="0.25">
      <c r="A88" s="48" t="s">
        <v>208</v>
      </c>
      <c r="D88" s="18" t="s">
        <v>5</v>
      </c>
      <c r="E88" s="39">
        <v>114488.761</v>
      </c>
      <c r="F88" s="39">
        <v>-4145.692</v>
      </c>
    </row>
    <row r="89" spans="1:6" x14ac:dyDescent="0.25">
      <c r="A89" s="45" t="s">
        <v>181</v>
      </c>
      <c r="B89" s="27">
        <f>E91-E88</f>
        <v>-35.353999999992084</v>
      </c>
      <c r="C89" s="27">
        <f>F91-F88</f>
        <v>-10.951000000000022</v>
      </c>
      <c r="D89" s="18" t="s">
        <v>98</v>
      </c>
      <c r="E89" s="18">
        <v>114453.40700000001</v>
      </c>
      <c r="F89" s="18">
        <v>-4156.6570000000002</v>
      </c>
    </row>
    <row r="90" spans="1:6" x14ac:dyDescent="0.25">
      <c r="A90" s="39">
        <v>37.01</v>
      </c>
      <c r="D90" s="18"/>
      <c r="E90" s="27">
        <f>E91-E89</f>
        <v>0</v>
      </c>
      <c r="F90" s="27">
        <f>F91-F89</f>
        <v>1.4000000000123691E-2</v>
      </c>
    </row>
    <row r="91" spans="1:6" x14ac:dyDescent="0.25">
      <c r="A91" s="18"/>
      <c r="D91" s="30" t="s">
        <v>328</v>
      </c>
      <c r="E91" s="44">
        <v>114453.40700000001</v>
      </c>
      <c r="F91" s="44">
        <v>-4156.643</v>
      </c>
    </row>
    <row r="92" spans="1:6" x14ac:dyDescent="0.25">
      <c r="A92" s="18"/>
      <c r="D92" s="18"/>
      <c r="E92" s="18"/>
      <c r="F92" s="18"/>
    </row>
    <row r="93" spans="1:6" x14ac:dyDescent="0.25">
      <c r="A93" s="18"/>
      <c r="D93" s="18"/>
      <c r="E93" s="18"/>
      <c r="F93" s="18"/>
    </row>
    <row r="94" spans="1:6" x14ac:dyDescent="0.25">
      <c r="A94" s="48"/>
      <c r="D94" s="18"/>
      <c r="E94" s="18"/>
      <c r="F94" s="18"/>
    </row>
    <row r="95" spans="1:6" x14ac:dyDescent="0.25">
      <c r="A95" s="48" t="s">
        <v>300</v>
      </c>
      <c r="D95" s="18" t="s">
        <v>13</v>
      </c>
      <c r="E95" s="39">
        <v>114496.092</v>
      </c>
      <c r="F95" s="39">
        <v>-4061.6280000000002</v>
      </c>
    </row>
    <row r="96" spans="1:6" x14ac:dyDescent="0.25">
      <c r="A96" s="45" t="s">
        <v>181</v>
      </c>
      <c r="B96" s="27">
        <f>E98-E95</f>
        <v>-4.2980000000097789</v>
      </c>
      <c r="C96" s="27">
        <f>F98-F95</f>
        <v>-1.3319999999998799</v>
      </c>
      <c r="D96" s="18" t="s">
        <v>203</v>
      </c>
      <c r="E96" s="18">
        <v>114491.789</v>
      </c>
      <c r="F96" s="27">
        <v>-4062.9380000000001</v>
      </c>
    </row>
    <row r="97" spans="1:6" x14ac:dyDescent="0.25">
      <c r="A97" s="39">
        <v>4.5</v>
      </c>
      <c r="D97" s="18"/>
      <c r="E97" s="27">
        <f>E98-E96</f>
        <v>4.9999999901046976E-3</v>
      </c>
      <c r="F97" s="27">
        <f>F98-F96</f>
        <v>-2.1999999999934516E-2</v>
      </c>
    </row>
    <row r="98" spans="1:6" x14ac:dyDescent="0.25">
      <c r="A98" s="39"/>
      <c r="D98" s="30" t="s">
        <v>328</v>
      </c>
      <c r="E98" s="44">
        <v>114491.79399999999</v>
      </c>
      <c r="F98" s="44">
        <v>-4062.96</v>
      </c>
    </row>
    <row r="99" spans="1:6" x14ac:dyDescent="0.25">
      <c r="A99" s="18"/>
      <c r="D99" s="18"/>
      <c r="E99" s="18"/>
      <c r="F99" s="18"/>
    </row>
    <row r="100" spans="1:6" x14ac:dyDescent="0.25">
      <c r="A100" s="48" t="s">
        <v>301</v>
      </c>
      <c r="D100" s="18" t="s">
        <v>203</v>
      </c>
      <c r="E100" s="39">
        <v>114491.79399999999</v>
      </c>
      <c r="F100" s="39">
        <v>-4062.96</v>
      </c>
    </row>
    <row r="101" spans="1:6" x14ac:dyDescent="0.25">
      <c r="A101" s="45" t="s">
        <v>181</v>
      </c>
      <c r="B101" s="27">
        <f>E103-E100</f>
        <v>-26.756999999997788</v>
      </c>
      <c r="C101" s="27">
        <f>F103-F100</f>
        <v>-8.2880000000000109</v>
      </c>
      <c r="D101" s="18" t="s">
        <v>10</v>
      </c>
      <c r="E101" s="18">
        <v>114465.05899999999</v>
      </c>
      <c r="F101" s="27">
        <v>-4071.248</v>
      </c>
    </row>
    <row r="102" spans="1:6" x14ac:dyDescent="0.25">
      <c r="A102" s="18">
        <v>28.01</v>
      </c>
      <c r="D102" s="18"/>
      <c r="E102" s="27">
        <f>E103-E101</f>
        <v>-2.1999999997206032E-2</v>
      </c>
      <c r="F102" s="27">
        <f>F103-F101</f>
        <v>0</v>
      </c>
    </row>
    <row r="103" spans="1:6" x14ac:dyDescent="0.25">
      <c r="A103" s="18"/>
      <c r="D103" s="30" t="s">
        <v>328</v>
      </c>
      <c r="E103" s="44">
        <v>114465.037</v>
      </c>
      <c r="F103" s="44">
        <v>-4071.248</v>
      </c>
    </row>
    <row r="104" spans="1:6" x14ac:dyDescent="0.25">
      <c r="A104" s="18"/>
      <c r="D104" s="18"/>
      <c r="E104" s="18"/>
      <c r="F104" s="18"/>
    </row>
    <row r="105" spans="1:6" x14ac:dyDescent="0.25">
      <c r="A105" s="48" t="s">
        <v>294</v>
      </c>
      <c r="D105" s="18" t="s">
        <v>10</v>
      </c>
      <c r="E105" s="39">
        <v>114465.037</v>
      </c>
      <c r="F105" s="39">
        <v>-4071.248</v>
      </c>
    </row>
    <row r="106" spans="1:6" x14ac:dyDescent="0.25">
      <c r="A106" s="45" t="s">
        <v>295</v>
      </c>
      <c r="B106" s="27">
        <f>E108-E105</f>
        <v>4.8209999999962747</v>
      </c>
      <c r="C106" s="27">
        <f>F108-F105</f>
        <v>-15.126999999999953</v>
      </c>
      <c r="D106" s="18" t="s">
        <v>9</v>
      </c>
      <c r="E106" s="18">
        <v>114469.857</v>
      </c>
      <c r="F106" s="27">
        <v>-4086.3679999999999</v>
      </c>
    </row>
    <row r="107" spans="1:6" x14ac:dyDescent="0.25">
      <c r="A107" s="39">
        <v>15.88</v>
      </c>
      <c r="D107" s="18"/>
      <c r="E107" s="27">
        <f>E108-E106</f>
        <v>9.9999998928979039E-4</v>
      </c>
      <c r="F107" s="27">
        <f>F108-F106</f>
        <v>-7.0000000000618456E-3</v>
      </c>
    </row>
    <row r="108" spans="1:6" x14ac:dyDescent="0.25">
      <c r="A108" s="39"/>
      <c r="D108" s="30" t="s">
        <v>328</v>
      </c>
      <c r="E108" s="44">
        <v>114469.85799999999</v>
      </c>
      <c r="F108" s="44">
        <v>-4086.375</v>
      </c>
    </row>
    <row r="109" spans="1:6" x14ac:dyDescent="0.25">
      <c r="A109" s="18"/>
      <c r="D109" s="18"/>
      <c r="E109" s="18"/>
      <c r="F109" s="18"/>
    </row>
    <row r="110" spans="1:6" x14ac:dyDescent="0.25">
      <c r="A110" s="48" t="s">
        <v>296</v>
      </c>
      <c r="D110" s="18" t="s">
        <v>9</v>
      </c>
      <c r="E110" s="39">
        <v>114469.85799999999</v>
      </c>
      <c r="F110" s="39">
        <v>-4086.375</v>
      </c>
    </row>
    <row r="111" spans="1:6" x14ac:dyDescent="0.25">
      <c r="A111" s="45" t="s">
        <v>295</v>
      </c>
      <c r="B111" s="27">
        <f>E113-E110</f>
        <v>4.7250000000058208</v>
      </c>
      <c r="C111" s="27">
        <f>F113-F110</f>
        <v>-14.826000000000022</v>
      </c>
      <c r="D111" s="18" t="s">
        <v>8</v>
      </c>
      <c r="E111" s="18">
        <v>114474.572</v>
      </c>
      <c r="F111" s="18">
        <v>-4101.21</v>
      </c>
    </row>
    <row r="112" spans="1:6" x14ac:dyDescent="0.25">
      <c r="A112" s="39">
        <v>15.56</v>
      </c>
      <c r="D112" s="18"/>
      <c r="E112" s="27">
        <f>E113-E111</f>
        <v>1.0999999998603016E-2</v>
      </c>
      <c r="F112" s="27">
        <f>F113-F111</f>
        <v>9.0000000000145519E-3</v>
      </c>
    </row>
    <row r="113" spans="1:6" x14ac:dyDescent="0.25">
      <c r="A113" s="39"/>
      <c r="D113" s="30" t="s">
        <v>328</v>
      </c>
      <c r="E113" s="44">
        <v>114474.583</v>
      </c>
      <c r="F113" s="44">
        <v>-4101.201</v>
      </c>
    </row>
    <row r="114" spans="1:6" x14ac:dyDescent="0.25">
      <c r="A114" s="18"/>
      <c r="D114" s="18"/>
      <c r="E114" s="18"/>
      <c r="F114" s="18"/>
    </row>
    <row r="115" spans="1:6" x14ac:dyDescent="0.25">
      <c r="A115" s="48" t="s">
        <v>297</v>
      </c>
      <c r="D115" s="18" t="s">
        <v>8</v>
      </c>
      <c r="E115" s="39">
        <v>114474.583</v>
      </c>
      <c r="F115" s="39">
        <v>-4101.201</v>
      </c>
    </row>
    <row r="116" spans="1:6" x14ac:dyDescent="0.25">
      <c r="A116" s="45" t="s">
        <v>295</v>
      </c>
      <c r="B116" s="27">
        <f>E118-E115</f>
        <v>4.7240000000019791</v>
      </c>
      <c r="C116" s="27">
        <f>F118-F115</f>
        <v>-14.826000000000022</v>
      </c>
      <c r="D116" s="18" t="s">
        <v>7</v>
      </c>
      <c r="E116" s="18">
        <v>114479.307</v>
      </c>
      <c r="F116" s="27">
        <v>-4116.0119999999997</v>
      </c>
    </row>
    <row r="117" spans="1:6" x14ac:dyDescent="0.25">
      <c r="A117" s="39">
        <v>15.56</v>
      </c>
      <c r="D117" s="18"/>
      <c r="E117" s="27">
        <f>E118-E116</f>
        <v>0</v>
      </c>
      <c r="F117" s="27">
        <f>F118-F116</f>
        <v>-1.5000000000327418E-2</v>
      </c>
    </row>
    <row r="118" spans="1:6" x14ac:dyDescent="0.25">
      <c r="A118" s="39"/>
      <c r="D118" s="30" t="s">
        <v>328</v>
      </c>
      <c r="E118" s="44">
        <v>114479.307</v>
      </c>
      <c r="F118" s="44">
        <v>-4116.027</v>
      </c>
    </row>
    <row r="119" spans="1:6" x14ac:dyDescent="0.25">
      <c r="A119" s="18"/>
      <c r="D119" s="18"/>
      <c r="E119" s="18"/>
      <c r="F119" s="18"/>
    </row>
    <row r="120" spans="1:6" x14ac:dyDescent="0.25">
      <c r="A120" s="48" t="s">
        <v>298</v>
      </c>
      <c r="D120" s="18" t="s">
        <v>7</v>
      </c>
      <c r="E120" s="39">
        <v>114479.307</v>
      </c>
      <c r="F120" s="39">
        <v>-4116.027</v>
      </c>
    </row>
    <row r="121" spans="1:6" x14ac:dyDescent="0.25">
      <c r="A121" s="45" t="s">
        <v>295</v>
      </c>
      <c r="B121" s="27">
        <f>E123-E120</f>
        <v>5.05899999999383</v>
      </c>
      <c r="C121" s="27">
        <f>F123-F120</f>
        <v>-15.873999999999796</v>
      </c>
      <c r="D121" s="18" t="s">
        <v>6</v>
      </c>
      <c r="E121" s="18">
        <v>114484.38499999999</v>
      </c>
      <c r="F121" s="27">
        <v>-4131.915</v>
      </c>
    </row>
    <row r="122" spans="1:6" x14ac:dyDescent="0.25">
      <c r="A122" s="39">
        <v>16.66</v>
      </c>
      <c r="D122" s="18"/>
      <c r="E122" s="27">
        <f>E123-E121</f>
        <v>-1.9000000000232831E-2</v>
      </c>
      <c r="F122" s="27">
        <f>F123-F121</f>
        <v>1.4000000000123691E-2</v>
      </c>
    </row>
    <row r="123" spans="1:6" x14ac:dyDescent="0.25">
      <c r="A123" s="39"/>
      <c r="D123" s="30" t="s">
        <v>328</v>
      </c>
      <c r="E123" s="44">
        <v>114484.36599999999</v>
      </c>
      <c r="F123" s="44">
        <v>-4131.9009999999998</v>
      </c>
    </row>
    <row r="124" spans="1:6" x14ac:dyDescent="0.25">
      <c r="A124" s="39"/>
      <c r="D124" s="18"/>
      <c r="E124" s="18"/>
      <c r="F124" s="18"/>
    </row>
    <row r="125" spans="1:6" x14ac:dyDescent="0.25">
      <c r="A125" s="66" t="s">
        <v>299</v>
      </c>
      <c r="D125" s="18" t="s">
        <v>6</v>
      </c>
      <c r="E125" s="39">
        <v>114484.36599999999</v>
      </c>
      <c r="F125" s="39">
        <v>-4131.9009999999998</v>
      </c>
    </row>
    <row r="126" spans="1:6" x14ac:dyDescent="0.25">
      <c r="A126" s="45" t="s">
        <v>295</v>
      </c>
      <c r="B126" s="27">
        <f>E128-E125</f>
        <v>4.3940000000002328</v>
      </c>
      <c r="C126" s="27">
        <f>F128-F125</f>
        <v>-13.78899999999976</v>
      </c>
      <c r="D126" s="18" t="s">
        <v>5</v>
      </c>
      <c r="E126" s="18">
        <v>114488.76700000001</v>
      </c>
      <c r="F126" s="27">
        <v>-4145.7550000000001</v>
      </c>
    </row>
    <row r="127" spans="1:6" x14ac:dyDescent="0.25">
      <c r="A127" s="39">
        <v>14.47</v>
      </c>
      <c r="D127" s="18"/>
      <c r="E127" s="27">
        <f>E128-E126</f>
        <v>-7.0000000123400241E-3</v>
      </c>
      <c r="F127" s="27">
        <f>F128-F126</f>
        <v>6.5000000000509317E-2</v>
      </c>
    </row>
    <row r="128" spans="1:6" x14ac:dyDescent="0.25">
      <c r="A128" s="39"/>
      <c r="D128" s="30" t="s">
        <v>328</v>
      </c>
      <c r="E128" s="30">
        <v>114488.76</v>
      </c>
      <c r="F128" s="30">
        <v>-4145.6899999999996</v>
      </c>
    </row>
    <row r="129" spans="1:6" x14ac:dyDescent="0.25">
      <c r="A129" s="18"/>
      <c r="D129" s="18"/>
      <c r="E129" s="18"/>
      <c r="F129" s="18"/>
    </row>
    <row r="130" spans="1:6" x14ac:dyDescent="0.25">
      <c r="A130" s="48" t="s">
        <v>302</v>
      </c>
      <c r="D130" s="18" t="s">
        <v>5</v>
      </c>
      <c r="E130" s="39">
        <v>114488.761</v>
      </c>
      <c r="F130" s="39">
        <v>-4145.692</v>
      </c>
    </row>
    <row r="131" spans="1:6" x14ac:dyDescent="0.25">
      <c r="A131" s="45" t="s">
        <v>212</v>
      </c>
      <c r="B131" s="27">
        <f>E133-E130</f>
        <v>35.354000000006636</v>
      </c>
      <c r="C131" s="27">
        <f>F133-F130</f>
        <v>10.951000000000022</v>
      </c>
      <c r="D131" s="18" t="s">
        <v>23</v>
      </c>
      <c r="E131" s="18">
        <v>114524.125</v>
      </c>
      <c r="F131" s="27">
        <v>-4134.7309999999998</v>
      </c>
    </row>
    <row r="132" spans="1:6" x14ac:dyDescent="0.25">
      <c r="A132" s="39">
        <v>37.01</v>
      </c>
      <c r="D132" s="18"/>
      <c r="E132" s="27">
        <f>E133-E131</f>
        <v>-9.9999999947613105E-3</v>
      </c>
      <c r="F132" s="27">
        <f>F133-F131</f>
        <v>-1.0000000000218279E-2</v>
      </c>
    </row>
    <row r="133" spans="1:6" x14ac:dyDescent="0.25">
      <c r="A133" s="39"/>
      <c r="D133" s="30" t="s">
        <v>328</v>
      </c>
      <c r="E133" s="44">
        <v>114524.11500000001</v>
      </c>
      <c r="F133" s="44">
        <v>-4134.741</v>
      </c>
    </row>
    <row r="134" spans="1:6" x14ac:dyDescent="0.25">
      <c r="A134" s="18"/>
      <c r="D134" s="18"/>
      <c r="E134" s="18"/>
      <c r="F134" s="18"/>
    </row>
    <row r="135" spans="1:6" x14ac:dyDescent="0.25">
      <c r="A135" s="48" t="s">
        <v>303</v>
      </c>
      <c r="D135" s="18" t="s">
        <v>23</v>
      </c>
      <c r="E135" s="39">
        <v>114524.11500000001</v>
      </c>
      <c r="F135" s="39">
        <v>-4134.741</v>
      </c>
    </row>
    <row r="136" spans="1:6" x14ac:dyDescent="0.25">
      <c r="A136" s="45" t="s">
        <v>210</v>
      </c>
      <c r="B136" s="27">
        <f>E138-E135</f>
        <v>-3.3790000000008149</v>
      </c>
      <c r="C136" s="27">
        <f>F138-F135</f>
        <v>10.604999999999563</v>
      </c>
      <c r="D136" s="18" t="s">
        <v>22</v>
      </c>
      <c r="E136" s="18">
        <v>114520.732</v>
      </c>
      <c r="F136" s="27">
        <v>-4124.1580000000004</v>
      </c>
    </row>
    <row r="137" spans="1:6" x14ac:dyDescent="0.25">
      <c r="A137" s="18">
        <v>11.13</v>
      </c>
      <c r="D137" s="18"/>
      <c r="E137" s="27">
        <f>E138-E136</f>
        <v>4.0000000008149073E-3</v>
      </c>
      <c r="F137" s="27">
        <f>F138-F136</f>
        <v>2.1999999999934516E-2</v>
      </c>
    </row>
    <row r="138" spans="1:6" x14ac:dyDescent="0.25">
      <c r="A138" s="18"/>
      <c r="D138" s="30" t="s">
        <v>328</v>
      </c>
      <c r="E138" s="44">
        <v>114520.736</v>
      </c>
      <c r="F138" s="44">
        <v>-4124.1360000000004</v>
      </c>
    </row>
    <row r="139" spans="1:6" x14ac:dyDescent="0.25">
      <c r="A139" s="18"/>
      <c r="D139" s="18"/>
      <c r="E139" s="18"/>
      <c r="F139" s="18"/>
    </row>
    <row r="140" spans="1:6" x14ac:dyDescent="0.25">
      <c r="A140" s="48" t="s">
        <v>304</v>
      </c>
      <c r="D140" s="18" t="s">
        <v>22</v>
      </c>
      <c r="E140" s="39">
        <v>114520.736</v>
      </c>
      <c r="F140" s="39">
        <v>-4124.1360000000004</v>
      </c>
    </row>
    <row r="141" spans="1:6" x14ac:dyDescent="0.25">
      <c r="A141" s="45" t="s">
        <v>181</v>
      </c>
      <c r="B141" s="27">
        <f>E143-E140</f>
        <v>-8.5979999999981374</v>
      </c>
      <c r="C141" s="27">
        <f>F143-F140</f>
        <v>-2.6629999999995562</v>
      </c>
      <c r="D141" s="18" t="s">
        <v>21</v>
      </c>
      <c r="E141" s="18">
        <v>114512.13400000001</v>
      </c>
      <c r="F141" s="27">
        <v>-4126.7809999999999</v>
      </c>
    </row>
    <row r="142" spans="1:6" x14ac:dyDescent="0.25">
      <c r="A142" s="39">
        <v>9</v>
      </c>
      <c r="D142" s="18"/>
      <c r="E142" s="27">
        <f>E143-E141</f>
        <v>4.0000000008149073E-3</v>
      </c>
      <c r="F142" s="27">
        <f>F143-F141</f>
        <v>-1.8000000000029104E-2</v>
      </c>
    </row>
    <row r="143" spans="1:6" x14ac:dyDescent="0.25">
      <c r="A143" s="39"/>
      <c r="D143" s="30" t="s">
        <v>328</v>
      </c>
      <c r="E143" s="44">
        <v>114512.13800000001</v>
      </c>
      <c r="F143" s="44">
        <v>-4126.799</v>
      </c>
    </row>
    <row r="144" spans="1:6" x14ac:dyDescent="0.25">
      <c r="A144" s="18"/>
      <c r="D144" s="18"/>
      <c r="E144" s="18"/>
      <c r="F144" s="18"/>
    </row>
    <row r="145" spans="1:6" x14ac:dyDescent="0.25">
      <c r="A145" s="48" t="s">
        <v>305</v>
      </c>
      <c r="D145" s="18" t="s">
        <v>21</v>
      </c>
      <c r="E145" s="39">
        <v>114512.13800000001</v>
      </c>
      <c r="F145" s="39">
        <v>-4126.799</v>
      </c>
    </row>
    <row r="146" spans="1:6" x14ac:dyDescent="0.25">
      <c r="A146" s="45" t="s">
        <v>210</v>
      </c>
      <c r="B146" s="27">
        <f>E148-E145</f>
        <v>-1.0149999999994179</v>
      </c>
      <c r="C146" s="27">
        <f>F148-F145</f>
        <v>3.1859999999996944</v>
      </c>
      <c r="D146" s="18" t="s">
        <v>20</v>
      </c>
      <c r="E146" s="27">
        <v>114511.101</v>
      </c>
      <c r="F146" s="27">
        <v>-4123.6059999999998</v>
      </c>
    </row>
    <row r="147" spans="1:6" x14ac:dyDescent="0.25">
      <c r="A147" s="39">
        <v>3.3439999999999999</v>
      </c>
      <c r="D147" s="18"/>
      <c r="E147" s="27">
        <f>E148-E146</f>
        <v>2.2000000011757948E-2</v>
      </c>
      <c r="F147" s="27">
        <f>F148-F146</f>
        <v>-7.000000000516593E-3</v>
      </c>
    </row>
    <row r="148" spans="1:6" x14ac:dyDescent="0.25">
      <c r="A148" s="39"/>
      <c r="D148" s="30" t="s">
        <v>328</v>
      </c>
      <c r="E148" s="44">
        <v>114511.12300000001</v>
      </c>
      <c r="F148" s="44">
        <v>-4123.6130000000003</v>
      </c>
    </row>
    <row r="149" spans="1:6" x14ac:dyDescent="0.25">
      <c r="A149" s="18"/>
      <c r="D149" s="18"/>
      <c r="E149" s="18"/>
      <c r="F149" s="18"/>
    </row>
    <row r="150" spans="1:6" x14ac:dyDescent="0.25">
      <c r="A150" s="48" t="s">
        <v>306</v>
      </c>
      <c r="D150" s="18" t="s">
        <v>20</v>
      </c>
      <c r="E150" s="39">
        <v>114511.12300000001</v>
      </c>
      <c r="F150" s="39">
        <v>-4123.6130000000003</v>
      </c>
    </row>
    <row r="151" spans="1:6" x14ac:dyDescent="0.25">
      <c r="A151" s="45" t="s">
        <v>210</v>
      </c>
      <c r="B151" s="27">
        <f>E153-E150</f>
        <v>-1.7060000000055879</v>
      </c>
      <c r="C151" s="27">
        <f>F153-F150</f>
        <v>5.3550000000004729</v>
      </c>
      <c r="D151" s="18" t="s">
        <v>203</v>
      </c>
      <c r="E151" s="18">
        <v>114509.41499999999</v>
      </c>
      <c r="F151" s="27">
        <v>-4118.2420000000002</v>
      </c>
    </row>
    <row r="152" spans="1:6" x14ac:dyDescent="0.25">
      <c r="A152" s="39">
        <v>5.62</v>
      </c>
      <c r="D152" s="18"/>
      <c r="E152" s="27">
        <f>E153-E151</f>
        <v>2.0000000076834112E-3</v>
      </c>
      <c r="F152" s="27">
        <f>F153-F151</f>
        <v>-1.599999999962165E-2</v>
      </c>
    </row>
    <row r="153" spans="1:6" x14ac:dyDescent="0.25">
      <c r="A153" s="39"/>
      <c r="D153" s="30" t="s">
        <v>328</v>
      </c>
      <c r="E153" s="44">
        <v>114509.417</v>
      </c>
      <c r="F153" s="44">
        <v>-4118.2579999999998</v>
      </c>
    </row>
    <row r="154" spans="1:6" x14ac:dyDescent="0.25">
      <c r="A154" s="18"/>
      <c r="D154" s="18"/>
      <c r="E154" s="18"/>
      <c r="F154" s="18"/>
    </row>
    <row r="155" spans="1:6" x14ac:dyDescent="0.25">
      <c r="A155" s="48" t="s">
        <v>307</v>
      </c>
      <c r="D155" s="18" t="s">
        <v>203</v>
      </c>
      <c r="E155" s="39">
        <v>114509.417</v>
      </c>
      <c r="F155" s="39">
        <v>-4118.2579999999998</v>
      </c>
    </row>
    <row r="156" spans="1:6" x14ac:dyDescent="0.25">
      <c r="A156" s="45" t="s">
        <v>212</v>
      </c>
      <c r="B156" s="27">
        <f>E158-E155</f>
        <v>4.2930000000051223</v>
      </c>
      <c r="C156" s="27">
        <f>F158-F155</f>
        <v>1.3479999999999563</v>
      </c>
      <c r="D156" s="18" t="s">
        <v>18</v>
      </c>
      <c r="E156" s="18">
        <v>114513.685</v>
      </c>
      <c r="F156" s="27">
        <v>-4116.9160000000002</v>
      </c>
    </row>
    <row r="157" spans="1:6" x14ac:dyDescent="0.25">
      <c r="A157" s="39">
        <v>4.5</v>
      </c>
      <c r="D157" s="18"/>
      <c r="E157" s="27">
        <f>E158-E156</f>
        <v>2.5000000008731149E-2</v>
      </c>
      <c r="F157" s="27">
        <f>F158-F156</f>
        <v>6.0000000003128662E-3</v>
      </c>
    </row>
    <row r="158" spans="1:6" x14ac:dyDescent="0.25">
      <c r="A158" s="39"/>
      <c r="D158" s="30" t="s">
        <v>328</v>
      </c>
      <c r="E158" s="44">
        <v>114513.71</v>
      </c>
      <c r="F158" s="44">
        <v>-4116.91</v>
      </c>
    </row>
    <row r="159" spans="1:6" x14ac:dyDescent="0.25">
      <c r="A159" s="18"/>
      <c r="D159" s="18"/>
      <c r="E159" s="18"/>
      <c r="F159" s="18"/>
    </row>
    <row r="160" spans="1:6" x14ac:dyDescent="0.25">
      <c r="A160" s="48" t="s">
        <v>308</v>
      </c>
      <c r="D160" s="18" t="s">
        <v>18</v>
      </c>
      <c r="E160" s="39">
        <v>114513.71</v>
      </c>
      <c r="F160" s="39">
        <v>-4116.91</v>
      </c>
    </row>
    <row r="161" spans="1:6" x14ac:dyDescent="0.25">
      <c r="A161" s="45" t="s">
        <v>210</v>
      </c>
      <c r="B161" s="27">
        <f>E163-E160</f>
        <v>-1.3720000000030268</v>
      </c>
      <c r="C161" s="27">
        <f>F163-F160</f>
        <v>4.3059999999995853</v>
      </c>
      <c r="D161" s="18" t="s">
        <v>200</v>
      </c>
      <c r="E161" s="18">
        <v>114512.33</v>
      </c>
      <c r="F161" s="27">
        <v>-4112.6139999999996</v>
      </c>
    </row>
    <row r="162" spans="1:6" x14ac:dyDescent="0.25">
      <c r="A162" s="39">
        <v>4.5</v>
      </c>
      <c r="D162" s="18"/>
      <c r="E162" s="27">
        <f>E163-E161</f>
        <v>8.0000000016298145E-3</v>
      </c>
      <c r="F162" s="27">
        <f>F163-F161</f>
        <v>9.999999999308784E-3</v>
      </c>
    </row>
    <row r="163" spans="1:6" x14ac:dyDescent="0.25">
      <c r="A163" s="39"/>
      <c r="D163" s="30" t="s">
        <v>328</v>
      </c>
      <c r="E163" s="44">
        <v>114512.338</v>
      </c>
      <c r="F163" s="44">
        <v>-4112.6040000000003</v>
      </c>
    </row>
    <row r="164" spans="1:6" x14ac:dyDescent="0.25">
      <c r="A164" s="18"/>
      <c r="D164" s="18"/>
      <c r="E164" s="18"/>
      <c r="F164" s="18"/>
    </row>
    <row r="165" spans="1:6" x14ac:dyDescent="0.25">
      <c r="A165" s="48" t="s">
        <v>309</v>
      </c>
      <c r="D165" s="18" t="s">
        <v>200</v>
      </c>
      <c r="E165" s="39">
        <v>114512.338</v>
      </c>
      <c r="F165" s="39">
        <v>-4112.6040000000003</v>
      </c>
    </row>
    <row r="166" spans="1:6" x14ac:dyDescent="0.25">
      <c r="A166" s="45" t="s">
        <v>210</v>
      </c>
      <c r="B166" s="27">
        <f>E168-E165</f>
        <v>-1.9750000000058208</v>
      </c>
      <c r="C166" s="27">
        <f>F168-F165</f>
        <v>6.1970000000001164</v>
      </c>
      <c r="D166" s="18" t="s">
        <v>16</v>
      </c>
      <c r="E166" s="18">
        <v>114510.36599999999</v>
      </c>
      <c r="F166" s="27">
        <v>-4106.4120000000003</v>
      </c>
    </row>
    <row r="167" spans="1:6" x14ac:dyDescent="0.25">
      <c r="A167" s="39">
        <v>6.5039999999999996</v>
      </c>
      <c r="D167" s="18"/>
      <c r="E167" s="27">
        <f>E168-E166</f>
        <v>-2.9999999969732016E-3</v>
      </c>
      <c r="F167" s="27">
        <f>F168-F166</f>
        <v>5.0000000001091394E-3</v>
      </c>
    </row>
    <row r="168" spans="1:6" x14ac:dyDescent="0.25">
      <c r="A168" s="39"/>
      <c r="D168" s="30" t="s">
        <v>328</v>
      </c>
      <c r="E168" s="44">
        <v>114510.363</v>
      </c>
      <c r="F168" s="44">
        <v>-4106.4070000000002</v>
      </c>
    </row>
    <row r="169" spans="1:6" x14ac:dyDescent="0.25">
      <c r="A169" s="18"/>
      <c r="D169" s="18"/>
      <c r="E169" s="18"/>
      <c r="F169" s="18"/>
    </row>
    <row r="170" spans="1:6" x14ac:dyDescent="0.25">
      <c r="A170" s="48" t="s">
        <v>310</v>
      </c>
      <c r="D170" s="18" t="s">
        <v>16</v>
      </c>
      <c r="E170" s="39">
        <v>114510.363</v>
      </c>
      <c r="F170" s="39">
        <v>-4106.4070000000002</v>
      </c>
    </row>
    <row r="171" spans="1:6" x14ac:dyDescent="0.25">
      <c r="A171" s="45" t="s">
        <v>210</v>
      </c>
      <c r="B171" s="27">
        <f>E173-E170</f>
        <v>-4.7249999999912689</v>
      </c>
      <c r="C171" s="27">
        <f>F173-F170</f>
        <v>14.826000000000022</v>
      </c>
      <c r="D171" s="18" t="s">
        <v>15</v>
      </c>
      <c r="E171" s="18">
        <v>114505.64200000001</v>
      </c>
      <c r="F171" s="27">
        <v>-4091.578</v>
      </c>
    </row>
    <row r="172" spans="1:6" x14ac:dyDescent="0.25">
      <c r="A172" s="39">
        <v>15.56</v>
      </c>
      <c r="D172" s="18"/>
      <c r="E172" s="27">
        <f>E173-E171</f>
        <v>-4.0000000008149073E-3</v>
      </c>
      <c r="F172" s="27">
        <f>F173-F171</f>
        <v>-3.0000000001564331E-3</v>
      </c>
    </row>
    <row r="173" spans="1:6" x14ac:dyDescent="0.25">
      <c r="A173" s="39"/>
      <c r="D173" s="30" t="s">
        <v>328</v>
      </c>
      <c r="E173" s="44">
        <v>114505.63800000001</v>
      </c>
      <c r="F173" s="44">
        <v>-4091.5810000000001</v>
      </c>
    </row>
    <row r="174" spans="1:6" x14ac:dyDescent="0.25">
      <c r="A174" s="18"/>
      <c r="D174" s="18"/>
      <c r="E174" s="18"/>
      <c r="F174" s="18"/>
    </row>
    <row r="175" spans="1:6" x14ac:dyDescent="0.25">
      <c r="A175" s="48" t="s">
        <v>311</v>
      </c>
      <c r="D175" s="18" t="s">
        <v>15</v>
      </c>
      <c r="E175" s="39">
        <v>114505.63800000001</v>
      </c>
      <c r="F175" s="39">
        <v>-4091.5810000000001</v>
      </c>
    </row>
    <row r="176" spans="1:6" x14ac:dyDescent="0.25">
      <c r="A176" s="45" t="s">
        <v>210</v>
      </c>
      <c r="B176" s="27">
        <f>E178-E175</f>
        <v>-4.7250000000058208</v>
      </c>
      <c r="C176" s="27">
        <f>F178-F175</f>
        <v>14.826000000000022</v>
      </c>
      <c r="D176" s="18" t="s">
        <v>14</v>
      </c>
      <c r="E176" s="27">
        <v>114500.895</v>
      </c>
      <c r="F176" s="27">
        <v>-4076.7449999999999</v>
      </c>
    </row>
    <row r="177" spans="1:6" x14ac:dyDescent="0.25">
      <c r="A177" s="39">
        <v>15.56</v>
      </c>
      <c r="D177" s="18"/>
      <c r="E177" s="27">
        <f>E178-E176</f>
        <v>1.7999999996391125E-2</v>
      </c>
      <c r="F177" s="27">
        <f>F178-F176</f>
        <v>-1.0000000000218279E-2</v>
      </c>
    </row>
    <row r="178" spans="1:6" x14ac:dyDescent="0.25">
      <c r="A178" s="39"/>
      <c r="D178" s="30" t="s">
        <v>328</v>
      </c>
      <c r="E178" s="44">
        <v>114500.913</v>
      </c>
      <c r="F178" s="44">
        <v>-4076.7550000000001</v>
      </c>
    </row>
    <row r="179" spans="1:6" x14ac:dyDescent="0.25">
      <c r="A179" s="18"/>
      <c r="D179" s="18"/>
      <c r="E179" s="18"/>
      <c r="F179" s="18"/>
    </row>
    <row r="180" spans="1:6" x14ac:dyDescent="0.25">
      <c r="A180" s="48" t="s">
        <v>312</v>
      </c>
      <c r="D180" s="18" t="s">
        <v>14</v>
      </c>
      <c r="E180" s="39">
        <v>114500.913</v>
      </c>
      <c r="F180" s="39">
        <v>-4076.7550000000001</v>
      </c>
    </row>
    <row r="181" spans="1:6" x14ac:dyDescent="0.25">
      <c r="A181" s="45" t="s">
        <v>210</v>
      </c>
      <c r="B181" s="27">
        <f>E183-E180</f>
        <v>-3.4539999999979045</v>
      </c>
      <c r="C181" s="27">
        <f>F183-F180</f>
        <v>10.838999999999942</v>
      </c>
      <c r="D181" s="18" t="s">
        <v>200</v>
      </c>
      <c r="E181" s="18">
        <v>114497.462</v>
      </c>
      <c r="F181" s="27">
        <v>-4065.9160000000002</v>
      </c>
    </row>
    <row r="182" spans="1:6" x14ac:dyDescent="0.25">
      <c r="A182" s="39">
        <v>11.38</v>
      </c>
      <c r="D182" s="18"/>
      <c r="E182" s="27">
        <f>E183-E181</f>
        <v>-2.9999999969732016E-3</v>
      </c>
      <c r="F182" s="27">
        <f>F183-F181</f>
        <v>0</v>
      </c>
    </row>
    <row r="183" spans="1:6" x14ac:dyDescent="0.25">
      <c r="A183" s="39"/>
      <c r="D183" s="30" t="s">
        <v>328</v>
      </c>
      <c r="E183" s="44">
        <v>114497.459</v>
      </c>
      <c r="F183" s="44">
        <v>-4065.9160000000002</v>
      </c>
    </row>
    <row r="184" spans="1:6" x14ac:dyDescent="0.25">
      <c r="A184" s="18"/>
      <c r="D184" s="18"/>
      <c r="E184" s="18"/>
      <c r="F184" s="18"/>
    </row>
    <row r="185" spans="1:6" x14ac:dyDescent="0.25">
      <c r="A185" s="48" t="s">
        <v>313</v>
      </c>
      <c r="D185" s="18" t="s">
        <v>200</v>
      </c>
      <c r="E185" s="39">
        <v>114497.459</v>
      </c>
      <c r="F185" s="39">
        <v>-4065.9160000000002</v>
      </c>
    </row>
    <row r="186" spans="1:6" x14ac:dyDescent="0.25">
      <c r="A186" s="45" t="s">
        <v>210</v>
      </c>
      <c r="B186" s="27">
        <f>E188-E185</f>
        <v>-1.3669999999983702</v>
      </c>
      <c r="C186" s="27">
        <f>F188-F185</f>
        <v>4.2880000000000109</v>
      </c>
      <c r="D186" s="18" t="s">
        <v>13</v>
      </c>
      <c r="E186" s="18">
        <v>114496.09</v>
      </c>
      <c r="F186" s="27">
        <v>-4061.645</v>
      </c>
    </row>
    <row r="187" spans="1:6" x14ac:dyDescent="0.25">
      <c r="A187" s="39">
        <v>4.5</v>
      </c>
      <c r="D187" s="18"/>
      <c r="E187" s="27">
        <f>E188-E186</f>
        <v>2.0000000076834112E-3</v>
      </c>
      <c r="F187" s="27">
        <f>F188-F186</f>
        <v>1.6999999999825377E-2</v>
      </c>
    </row>
    <row r="188" spans="1:6" x14ac:dyDescent="0.25">
      <c r="A188" s="18"/>
      <c r="D188" s="30" t="s">
        <v>328</v>
      </c>
      <c r="E188" s="44">
        <v>114496.092</v>
      </c>
      <c r="F188" s="44">
        <v>-4061.6280000000002</v>
      </c>
    </row>
    <row r="189" spans="1:6" x14ac:dyDescent="0.25">
      <c r="A189" s="18"/>
      <c r="D189" s="18"/>
      <c r="E189" s="18"/>
      <c r="F189" s="18"/>
    </row>
    <row r="190" spans="1:6" x14ac:dyDescent="0.25">
      <c r="A190" s="18"/>
      <c r="D190" s="18"/>
      <c r="E190" s="18"/>
      <c r="F190" s="18"/>
    </row>
    <row r="191" spans="1:6" x14ac:dyDescent="0.25">
      <c r="A191" s="18"/>
      <c r="D191" s="18"/>
      <c r="E191" s="18"/>
      <c r="F191" s="18"/>
    </row>
    <row r="192" spans="1:6" x14ac:dyDescent="0.25">
      <c r="A192" s="48" t="s">
        <v>303</v>
      </c>
      <c r="D192" s="18" t="s">
        <v>23</v>
      </c>
      <c r="E192" s="39">
        <v>114524.11500000001</v>
      </c>
      <c r="F192" s="39">
        <v>-4134.741</v>
      </c>
    </row>
    <row r="193" spans="1:6" x14ac:dyDescent="0.25">
      <c r="A193" s="45" t="s">
        <v>210</v>
      </c>
      <c r="B193" s="27">
        <f>E195-E192</f>
        <v>-3.3790000000008149</v>
      </c>
      <c r="C193" s="27">
        <f>F195-F192</f>
        <v>10.604999999999563</v>
      </c>
      <c r="D193" s="18" t="s">
        <v>22</v>
      </c>
      <c r="E193" s="18">
        <v>114520.732</v>
      </c>
      <c r="F193" s="27">
        <v>-4124.1580000000004</v>
      </c>
    </row>
    <row r="194" spans="1:6" x14ac:dyDescent="0.25">
      <c r="A194" s="18">
        <v>11.13</v>
      </c>
      <c r="D194" s="18"/>
      <c r="E194" s="27">
        <f>E195-E193</f>
        <v>4.0000000008149073E-3</v>
      </c>
      <c r="F194" s="27">
        <f>F195-F193</f>
        <v>2.1999999999934516E-2</v>
      </c>
    </row>
    <row r="195" spans="1:6" x14ac:dyDescent="0.25">
      <c r="A195" s="18"/>
      <c r="D195" s="30" t="s">
        <v>328</v>
      </c>
      <c r="E195" s="44">
        <v>114520.736</v>
      </c>
      <c r="F195" s="44">
        <v>-4124.1360000000004</v>
      </c>
    </row>
    <row r="196" spans="1:6" x14ac:dyDescent="0.25">
      <c r="A196" s="18"/>
      <c r="D196" s="18"/>
      <c r="E196" s="18"/>
      <c r="F196" s="18"/>
    </row>
    <row r="197" spans="1:6" x14ac:dyDescent="0.25">
      <c r="A197" s="48" t="s">
        <v>213</v>
      </c>
      <c r="D197" s="18" t="s">
        <v>22</v>
      </c>
      <c r="E197" s="39">
        <v>114520.736</v>
      </c>
      <c r="F197" s="39">
        <v>-4124.1360000000004</v>
      </c>
    </row>
    <row r="198" spans="1:6" x14ac:dyDescent="0.25">
      <c r="A198" s="45" t="s">
        <v>212</v>
      </c>
      <c r="B198" s="27">
        <f>E200-E197</f>
        <v>8.5939999999973224</v>
      </c>
      <c r="C198" s="27">
        <f>F200-F197</f>
        <v>2.6630000000004657</v>
      </c>
      <c r="D198" s="18" t="s">
        <v>24</v>
      </c>
      <c r="E198" s="18">
        <v>114529.344</v>
      </c>
      <c r="F198" s="27">
        <v>-4121.4570000000003</v>
      </c>
    </row>
    <row r="199" spans="1:6" x14ac:dyDescent="0.25">
      <c r="A199" s="27">
        <v>9</v>
      </c>
      <c r="D199" s="18"/>
      <c r="E199" s="27">
        <f>E200-E198</f>
        <v>-1.3999999995576218E-2</v>
      </c>
      <c r="F199" s="27">
        <f>F200-F198</f>
        <v>-1.599999999962165E-2</v>
      </c>
    </row>
    <row r="200" spans="1:6" x14ac:dyDescent="0.25">
      <c r="A200" s="18"/>
      <c r="D200" s="30" t="s">
        <v>328</v>
      </c>
      <c r="E200" s="44">
        <v>114529.33</v>
      </c>
      <c r="F200" s="44">
        <v>-4121.473</v>
      </c>
    </row>
    <row r="201" spans="1:6" x14ac:dyDescent="0.25">
      <c r="A201" s="18"/>
      <c r="D201" s="18"/>
      <c r="E201" s="18"/>
      <c r="F201" s="18"/>
    </row>
    <row r="202" spans="1:6" x14ac:dyDescent="0.25">
      <c r="A202" s="48" t="s">
        <v>214</v>
      </c>
      <c r="D202" s="18" t="s">
        <v>24</v>
      </c>
      <c r="E202" s="39">
        <v>114529.33</v>
      </c>
      <c r="F202" s="39">
        <v>-4121.473</v>
      </c>
    </row>
    <row r="203" spans="1:6" x14ac:dyDescent="0.25">
      <c r="A203" s="45" t="s">
        <v>210</v>
      </c>
      <c r="B203" s="27">
        <f>E205-E202</f>
        <v>-1.0120000000024447</v>
      </c>
      <c r="C203" s="27">
        <f>F205-F202</f>
        <v>3.1869999999998981</v>
      </c>
      <c r="D203" s="18" t="s">
        <v>25</v>
      </c>
      <c r="E203" s="27">
        <v>114528.302</v>
      </c>
      <c r="F203" s="27">
        <v>-4118.3</v>
      </c>
    </row>
    <row r="204" spans="1:6" x14ac:dyDescent="0.25">
      <c r="A204" s="18">
        <v>3.34</v>
      </c>
      <c r="D204" s="18"/>
      <c r="E204" s="27">
        <f>E205-E203</f>
        <v>1.6000000003259629E-2</v>
      </c>
      <c r="F204" s="27">
        <f>F205-F203</f>
        <v>1.4000000000123691E-2</v>
      </c>
    </row>
    <row r="205" spans="1:6" x14ac:dyDescent="0.25">
      <c r="A205" s="18"/>
      <c r="D205" s="30" t="s">
        <v>328</v>
      </c>
      <c r="E205" s="44">
        <v>114528.318</v>
      </c>
      <c r="F205" s="44">
        <v>-4118.2860000000001</v>
      </c>
    </row>
    <row r="206" spans="1:6" x14ac:dyDescent="0.25">
      <c r="A206" s="18"/>
      <c r="D206" s="18"/>
      <c r="E206" s="18"/>
      <c r="F206" s="18"/>
    </row>
    <row r="207" spans="1:6" x14ac:dyDescent="0.25">
      <c r="A207" s="48" t="s">
        <v>215</v>
      </c>
      <c r="D207" s="18" t="s">
        <v>25</v>
      </c>
      <c r="E207" s="39">
        <v>114528.318</v>
      </c>
      <c r="F207" s="39">
        <v>-4118.2860000000001</v>
      </c>
    </row>
    <row r="208" spans="1:6" x14ac:dyDescent="0.25">
      <c r="A208" s="45" t="s">
        <v>179</v>
      </c>
      <c r="B208" s="27">
        <f>E210-E207</f>
        <v>-1.7289999999920838</v>
      </c>
      <c r="C208" s="27">
        <f>F210-F207</f>
        <v>5.4239999999999782</v>
      </c>
      <c r="D208" s="18" t="s">
        <v>203</v>
      </c>
      <c r="E208" s="27">
        <v>114526.602</v>
      </c>
      <c r="F208" s="27">
        <v>-4112.8469999999998</v>
      </c>
    </row>
    <row r="209" spans="1:6" x14ac:dyDescent="0.25">
      <c r="A209" s="39">
        <v>5.69</v>
      </c>
      <c r="D209" s="18"/>
      <c r="E209" s="27">
        <f>E210-E208</f>
        <v>-1.2999999991734512E-2</v>
      </c>
      <c r="F209" s="27">
        <f>F210-F208</f>
        <v>-1.5000000000327418E-2</v>
      </c>
    </row>
    <row r="210" spans="1:6" x14ac:dyDescent="0.25">
      <c r="A210" s="39"/>
      <c r="D210" s="30" t="s">
        <v>328</v>
      </c>
      <c r="E210" s="44">
        <v>114526.58900000001</v>
      </c>
      <c r="F210" s="44">
        <v>-4112.8620000000001</v>
      </c>
    </row>
    <row r="211" spans="1:6" x14ac:dyDescent="0.25">
      <c r="A211" s="18"/>
      <c r="D211" s="18"/>
      <c r="E211" s="18"/>
      <c r="F211" s="18"/>
    </row>
    <row r="212" spans="1:6" x14ac:dyDescent="0.25">
      <c r="A212" s="48" t="s">
        <v>216</v>
      </c>
      <c r="D212" s="18" t="s">
        <v>203</v>
      </c>
      <c r="E212" s="39">
        <v>114526.58900000001</v>
      </c>
      <c r="F212" s="39">
        <v>-4112.8620000000001</v>
      </c>
    </row>
    <row r="213" spans="1:6" x14ac:dyDescent="0.25">
      <c r="A213" s="45" t="s">
        <v>181</v>
      </c>
      <c r="B213" s="27">
        <f>E215-E212</f>
        <v>-4.2880000000004657</v>
      </c>
      <c r="C213" s="27">
        <f>F215-F212</f>
        <v>-1.3479999999999563</v>
      </c>
      <c r="D213" s="18" t="s">
        <v>28</v>
      </c>
      <c r="E213" s="18">
        <v>114522.311</v>
      </c>
      <c r="F213" s="27">
        <v>-4114.201</v>
      </c>
    </row>
    <row r="214" spans="1:6" x14ac:dyDescent="0.25">
      <c r="A214" s="39">
        <v>4.5</v>
      </c>
      <c r="D214" s="18"/>
      <c r="E214" s="27">
        <f>E215-E213</f>
        <v>-9.9999999947613105E-3</v>
      </c>
      <c r="F214" s="27">
        <f>F215-F213</f>
        <v>-9.0000000000145519E-3</v>
      </c>
    </row>
    <row r="215" spans="1:6" x14ac:dyDescent="0.25">
      <c r="A215" s="39"/>
      <c r="D215" s="30" t="s">
        <v>328</v>
      </c>
      <c r="E215" s="44">
        <v>114522.30100000001</v>
      </c>
      <c r="F215" s="44">
        <v>-4114.21</v>
      </c>
    </row>
    <row r="216" spans="1:6" x14ac:dyDescent="0.25">
      <c r="A216" s="18"/>
      <c r="D216" s="18"/>
      <c r="E216" s="18"/>
      <c r="F216" s="18"/>
    </row>
    <row r="217" spans="1:6" x14ac:dyDescent="0.25">
      <c r="A217" s="48" t="s">
        <v>217</v>
      </c>
      <c r="D217" s="18" t="s">
        <v>28</v>
      </c>
      <c r="E217" s="39">
        <v>114522.30100000001</v>
      </c>
      <c r="F217" s="39">
        <v>-4114.21</v>
      </c>
    </row>
    <row r="218" spans="1:6" x14ac:dyDescent="0.25">
      <c r="A218" s="45" t="s">
        <v>179</v>
      </c>
      <c r="B218" s="27">
        <f>E220-E217</f>
        <v>-1.3660000000090804</v>
      </c>
      <c r="C218" s="27">
        <f>F220-F217</f>
        <v>4.2690000000002328</v>
      </c>
      <c r="D218" s="18" t="s">
        <v>200</v>
      </c>
      <c r="E218" s="18">
        <v>114520.914</v>
      </c>
      <c r="F218" s="27">
        <v>-4109.9290000000001</v>
      </c>
    </row>
    <row r="219" spans="1:6" x14ac:dyDescent="0.25">
      <c r="A219" s="39">
        <v>4.5</v>
      </c>
      <c r="D219" s="18"/>
      <c r="E219" s="27">
        <f>E220-E218</f>
        <v>2.0999999993364327E-2</v>
      </c>
      <c r="F219" s="27">
        <f>F220-F218</f>
        <v>-1.1999999999716238E-2</v>
      </c>
    </row>
    <row r="220" spans="1:6" x14ac:dyDescent="0.25">
      <c r="A220" s="39"/>
      <c r="D220" s="30" t="s">
        <v>328</v>
      </c>
      <c r="E220" s="44">
        <v>114520.935</v>
      </c>
      <c r="F220" s="44">
        <v>-4109.9409999999998</v>
      </c>
    </row>
    <row r="221" spans="1:6" x14ac:dyDescent="0.25">
      <c r="A221" s="18"/>
      <c r="D221" s="18"/>
      <c r="E221" s="18"/>
      <c r="F221" s="18"/>
    </row>
    <row r="222" spans="1:6" x14ac:dyDescent="0.25">
      <c r="A222" s="48" t="s">
        <v>218</v>
      </c>
      <c r="D222" s="18" t="s">
        <v>200</v>
      </c>
      <c r="E222" s="39">
        <v>114520.935</v>
      </c>
      <c r="F222" s="39">
        <v>-4109.9409999999998</v>
      </c>
    </row>
    <row r="223" spans="1:6" x14ac:dyDescent="0.25">
      <c r="A223" s="45" t="s">
        <v>179</v>
      </c>
      <c r="B223" s="27">
        <f>E225-E222</f>
        <v>-1.9749999999912689</v>
      </c>
      <c r="C223" s="27">
        <f>F225-F222</f>
        <v>6.1970000000001164</v>
      </c>
      <c r="D223" s="18" t="s">
        <v>29</v>
      </c>
      <c r="E223" s="18">
        <v>114518.905</v>
      </c>
      <c r="F223" s="27">
        <v>-4103.7370000000001</v>
      </c>
    </row>
    <row r="224" spans="1:6" x14ac:dyDescent="0.25">
      <c r="A224" s="39">
        <v>6.5039999999999996</v>
      </c>
      <c r="D224" s="18"/>
      <c r="E224" s="27">
        <f>E225-E223</f>
        <v>5.5000000007566996E-2</v>
      </c>
      <c r="F224" s="27">
        <f>F225-F223</f>
        <v>-6.9999999996070983E-3</v>
      </c>
    </row>
    <row r="225" spans="1:6" x14ac:dyDescent="0.25">
      <c r="A225" s="39"/>
      <c r="D225" s="30" t="s">
        <v>328</v>
      </c>
      <c r="E225" s="44">
        <v>114518.96</v>
      </c>
      <c r="F225" s="44">
        <v>-4103.7439999999997</v>
      </c>
    </row>
    <row r="226" spans="1:6" x14ac:dyDescent="0.25">
      <c r="A226" s="18"/>
      <c r="D226" s="18"/>
      <c r="E226" s="18"/>
      <c r="F226" s="18"/>
    </row>
    <row r="227" spans="1:6" x14ac:dyDescent="0.25">
      <c r="A227" s="48" t="s">
        <v>219</v>
      </c>
      <c r="D227" s="18" t="s">
        <v>29</v>
      </c>
      <c r="E227" s="39">
        <v>114518.96</v>
      </c>
      <c r="F227" s="39">
        <v>-4103.7439999999997</v>
      </c>
    </row>
    <row r="228" spans="1:6" x14ac:dyDescent="0.25">
      <c r="A228" s="45" t="s">
        <v>179</v>
      </c>
      <c r="B228" s="27">
        <f>E230-E227</f>
        <v>-4.7200000000011642</v>
      </c>
      <c r="C228" s="27">
        <f>F230-F227</f>
        <v>14.823999999999614</v>
      </c>
      <c r="D228" s="18" t="s">
        <v>30</v>
      </c>
      <c r="E228" s="18">
        <v>114514.261</v>
      </c>
      <c r="F228" s="27">
        <v>-4088.915</v>
      </c>
    </row>
    <row r="229" spans="1:6" x14ac:dyDescent="0.25">
      <c r="A229" s="39">
        <v>15.56</v>
      </c>
      <c r="D229" s="18"/>
      <c r="E229" s="18">
        <f>E230-E228</f>
        <v>-2.0999999993364327E-2</v>
      </c>
      <c r="F229" s="27">
        <f>F230-F228</f>
        <v>-5.0000000001091394E-3</v>
      </c>
    </row>
    <row r="230" spans="1:6" x14ac:dyDescent="0.25">
      <c r="A230" s="39"/>
      <c r="D230" s="30" t="s">
        <v>328</v>
      </c>
      <c r="E230" s="30">
        <v>114514.24000000001</v>
      </c>
      <c r="F230" s="30">
        <v>-4088.92</v>
      </c>
    </row>
    <row r="231" spans="1:6" x14ac:dyDescent="0.25">
      <c r="A231" s="18"/>
      <c r="D231" s="18"/>
      <c r="E231" s="18"/>
      <c r="F231" s="18"/>
    </row>
    <row r="232" spans="1:6" x14ac:dyDescent="0.25">
      <c r="A232" s="48" t="s">
        <v>220</v>
      </c>
      <c r="D232" s="18" t="s">
        <v>30</v>
      </c>
      <c r="E232" s="18">
        <v>114514.24000000001</v>
      </c>
      <c r="F232" s="18">
        <v>-4088.92</v>
      </c>
    </row>
    <row r="233" spans="1:6" x14ac:dyDescent="0.25">
      <c r="A233" s="45" t="s">
        <v>179</v>
      </c>
      <c r="B233" s="27">
        <f>E235-E232</f>
        <v>-4.7300000000104774</v>
      </c>
      <c r="C233" s="27">
        <f>F235-F232</f>
        <v>14.827999999999975</v>
      </c>
      <c r="D233" s="18" t="s">
        <v>31</v>
      </c>
      <c r="E233" s="18">
        <v>114509.51700000001</v>
      </c>
      <c r="F233" s="27">
        <v>-4074.096</v>
      </c>
    </row>
    <row r="234" spans="1:6" x14ac:dyDescent="0.25">
      <c r="A234" s="39">
        <v>15.56</v>
      </c>
      <c r="D234" s="18"/>
      <c r="E234" s="27">
        <f>E235-E233</f>
        <v>-7.0000000123400241E-3</v>
      </c>
      <c r="F234" s="27">
        <f>F235-F233</f>
        <v>3.9999999999054126E-3</v>
      </c>
    </row>
    <row r="235" spans="1:6" x14ac:dyDescent="0.25">
      <c r="A235" s="39"/>
      <c r="D235" s="30" t="s">
        <v>328</v>
      </c>
      <c r="E235" s="44">
        <v>114509.51</v>
      </c>
      <c r="F235" s="44">
        <v>-4074.0920000000001</v>
      </c>
    </row>
    <row r="236" spans="1:6" x14ac:dyDescent="0.25">
      <c r="A236" s="18"/>
      <c r="D236" s="18"/>
      <c r="E236" s="18"/>
      <c r="F236" s="18"/>
    </row>
    <row r="237" spans="1:6" x14ac:dyDescent="0.25">
      <c r="A237" s="48" t="s">
        <v>221</v>
      </c>
      <c r="D237" s="18" t="s">
        <v>31</v>
      </c>
      <c r="E237" s="39">
        <v>114509.51</v>
      </c>
      <c r="F237" s="39">
        <v>-4074.0920000000001</v>
      </c>
    </row>
    <row r="238" spans="1:6" x14ac:dyDescent="0.25">
      <c r="A238" s="45" t="s">
        <v>179</v>
      </c>
      <c r="B238" s="27">
        <f>E240-E237</f>
        <v>-3.4499999999970896</v>
      </c>
      <c r="C238" s="27">
        <f>F240-F237</f>
        <v>10.842000000000098</v>
      </c>
      <c r="D238" s="18" t="s">
        <v>200</v>
      </c>
      <c r="E238" s="18">
        <v>114506.05</v>
      </c>
      <c r="F238" s="27">
        <v>-4063.2660000000001</v>
      </c>
    </row>
    <row r="239" spans="1:6" x14ac:dyDescent="0.25">
      <c r="A239" s="39">
        <v>11.38</v>
      </c>
      <c r="D239" s="18"/>
      <c r="E239" s="18">
        <f>E240-E238</f>
        <v>9.9999999947613105E-3</v>
      </c>
      <c r="F239" s="27">
        <f>F240-F238</f>
        <v>1.6000000000076398E-2</v>
      </c>
    </row>
    <row r="240" spans="1:6" x14ac:dyDescent="0.25">
      <c r="A240" s="39"/>
      <c r="D240" s="30" t="s">
        <v>328</v>
      </c>
      <c r="E240" s="30">
        <v>114506.06</v>
      </c>
      <c r="F240" s="30">
        <v>-4063.25</v>
      </c>
    </row>
    <row r="241" spans="1:6" x14ac:dyDescent="0.25">
      <c r="A241" s="18"/>
      <c r="D241" s="18"/>
      <c r="E241" s="18"/>
      <c r="F241" s="18"/>
    </row>
    <row r="242" spans="1:6" x14ac:dyDescent="0.25">
      <c r="A242" s="48" t="s">
        <v>222</v>
      </c>
      <c r="D242" s="18" t="s">
        <v>200</v>
      </c>
      <c r="E242" s="18">
        <v>114506.06</v>
      </c>
      <c r="F242" s="18">
        <v>-4063.25</v>
      </c>
    </row>
    <row r="243" spans="1:6" x14ac:dyDescent="0.25">
      <c r="A243" s="45" t="s">
        <v>179</v>
      </c>
      <c r="B243" s="27">
        <f>E245-E242</f>
        <v>-1.3699999999953434</v>
      </c>
      <c r="C243" s="27">
        <f>F245-F242</f>
        <v>4.2849999999998545</v>
      </c>
      <c r="D243" s="18" t="s">
        <v>329</v>
      </c>
      <c r="E243" s="27">
        <v>114504.697</v>
      </c>
      <c r="F243" s="18">
        <v>-4058.98</v>
      </c>
    </row>
    <row r="244" spans="1:6" x14ac:dyDescent="0.25">
      <c r="A244" s="39">
        <v>4.5</v>
      </c>
      <c r="D244" s="18"/>
      <c r="E244" s="27">
        <f>E245-E243</f>
        <v>-6.9999999977881089E-3</v>
      </c>
      <c r="F244" s="27">
        <f>F245-F243</f>
        <v>1.4999999999872671E-2</v>
      </c>
    </row>
    <row r="245" spans="1:6" x14ac:dyDescent="0.25">
      <c r="A245" s="39"/>
      <c r="D245" s="30" t="s">
        <v>328</v>
      </c>
      <c r="E245" s="44">
        <v>114504.69</v>
      </c>
      <c r="F245" s="44">
        <v>-4058.9650000000001</v>
      </c>
    </row>
    <row r="246" spans="1:6" x14ac:dyDescent="0.25">
      <c r="A246" s="18"/>
      <c r="D246" s="18"/>
      <c r="E246" s="18"/>
      <c r="F246" s="18"/>
    </row>
    <row r="247" spans="1:6" x14ac:dyDescent="0.25">
      <c r="A247" s="48" t="s">
        <v>223</v>
      </c>
      <c r="D247" s="18" t="s">
        <v>34</v>
      </c>
      <c r="E247" s="39">
        <v>114504.69</v>
      </c>
      <c r="F247" s="39">
        <v>-4058.9650000000001</v>
      </c>
    </row>
    <row r="248" spans="1:6" x14ac:dyDescent="0.25">
      <c r="A248" s="45" t="s">
        <v>212</v>
      </c>
      <c r="B248" s="27">
        <f>E250-E247</f>
        <v>4.297999999995227</v>
      </c>
      <c r="C248" s="27">
        <f>F250-F247</f>
        <v>1.331000000000131</v>
      </c>
      <c r="D248" s="18" t="s">
        <v>203</v>
      </c>
      <c r="E248" s="18">
        <v>114509.003</v>
      </c>
      <c r="F248" s="18">
        <v>-4057.64</v>
      </c>
    </row>
    <row r="249" spans="1:6" x14ac:dyDescent="0.25">
      <c r="A249" s="39">
        <v>4.5</v>
      </c>
      <c r="D249" s="18"/>
      <c r="E249" s="27">
        <f>E250-E248</f>
        <v>-1.4999999999417923E-2</v>
      </c>
      <c r="F249" s="27">
        <f>F250-F248</f>
        <v>5.9999999998581188E-3</v>
      </c>
    </row>
    <row r="250" spans="1:6" x14ac:dyDescent="0.25">
      <c r="A250" s="39"/>
      <c r="D250" s="30" t="s">
        <v>328</v>
      </c>
      <c r="E250" s="44">
        <v>114508.988</v>
      </c>
      <c r="F250" s="44">
        <v>-4057.634</v>
      </c>
    </row>
    <row r="251" spans="1:6" x14ac:dyDescent="0.25">
      <c r="A251" s="18"/>
      <c r="D251" s="18"/>
      <c r="E251" s="18"/>
      <c r="F251" s="18"/>
    </row>
    <row r="252" spans="1:6" x14ac:dyDescent="0.25">
      <c r="A252" s="48" t="s">
        <v>224</v>
      </c>
      <c r="D252" s="18" t="s">
        <v>203</v>
      </c>
      <c r="E252" s="39">
        <v>114508.988</v>
      </c>
      <c r="F252" s="39">
        <v>-4057.634</v>
      </c>
    </row>
    <row r="253" spans="1:6" x14ac:dyDescent="0.25">
      <c r="A253" s="45" t="s">
        <v>212</v>
      </c>
      <c r="B253" s="27">
        <f>E255-E252</f>
        <v>26.756999999997788</v>
      </c>
      <c r="C253" s="27">
        <f>F255-F252</f>
        <v>8.2880000000000109</v>
      </c>
      <c r="D253" s="18" t="s">
        <v>35</v>
      </c>
      <c r="E253" s="18">
        <v>114535.742</v>
      </c>
      <c r="F253" s="18">
        <v>-4049.35</v>
      </c>
    </row>
    <row r="254" spans="1:6" x14ac:dyDescent="0.25">
      <c r="A254" s="39">
        <v>28.01</v>
      </c>
      <c r="D254" s="18"/>
      <c r="E254" s="27">
        <f>E255-E253</f>
        <v>2.9999999969732016E-3</v>
      </c>
      <c r="F254" s="27">
        <f>F255-F253</f>
        <v>3.9999999999054126E-3</v>
      </c>
    </row>
    <row r="255" spans="1:6" x14ac:dyDescent="0.25">
      <c r="A255" s="39"/>
      <c r="D255" s="30" t="s">
        <v>328</v>
      </c>
      <c r="E255" s="44">
        <v>114535.745</v>
      </c>
      <c r="F255" s="44">
        <v>-4049.346</v>
      </c>
    </row>
    <row r="256" spans="1:6" x14ac:dyDescent="0.25">
      <c r="A256" s="18"/>
      <c r="D256" s="18"/>
      <c r="E256" s="18"/>
      <c r="F256" s="18"/>
    </row>
    <row r="257" spans="1:6" x14ac:dyDescent="0.25">
      <c r="A257" s="48" t="s">
        <v>225</v>
      </c>
      <c r="D257" s="18" t="s">
        <v>35</v>
      </c>
      <c r="E257" s="39">
        <v>114535.745</v>
      </c>
      <c r="F257" s="39">
        <v>-4049.346</v>
      </c>
    </row>
    <row r="258" spans="1:6" x14ac:dyDescent="0.25">
      <c r="A258" s="45" t="s">
        <v>182</v>
      </c>
      <c r="B258" s="27">
        <f>E260-E257</f>
        <v>4.8210000000108266</v>
      </c>
      <c r="C258" s="27">
        <f>F260-F257</f>
        <v>-15.126999999999953</v>
      </c>
      <c r="D258" s="18" t="s">
        <v>36</v>
      </c>
      <c r="E258" s="18">
        <v>114540.564</v>
      </c>
      <c r="F258" s="27">
        <v>-4064.4659999999999</v>
      </c>
    </row>
    <row r="259" spans="1:6" x14ac:dyDescent="0.25">
      <c r="A259" s="39">
        <v>15.88</v>
      </c>
      <c r="D259" s="18"/>
      <c r="E259" s="27">
        <f>E260-E258</f>
        <v>2.0000000076834112E-3</v>
      </c>
      <c r="F259" s="27">
        <f>F260-F258</f>
        <v>-7.0000000000618456E-3</v>
      </c>
    </row>
    <row r="260" spans="1:6" x14ac:dyDescent="0.25">
      <c r="A260" s="39"/>
      <c r="D260" s="30" t="s">
        <v>328</v>
      </c>
      <c r="E260" s="44">
        <v>114540.56600000001</v>
      </c>
      <c r="F260" s="44">
        <v>-4064.473</v>
      </c>
    </row>
    <row r="261" spans="1:6" x14ac:dyDescent="0.25">
      <c r="A261" s="18"/>
      <c r="D261" s="18"/>
      <c r="E261" s="18"/>
      <c r="F261" s="18"/>
    </row>
    <row r="262" spans="1:6" x14ac:dyDescent="0.25">
      <c r="A262" s="48" t="s">
        <v>226</v>
      </c>
      <c r="D262" s="18" t="s">
        <v>36</v>
      </c>
      <c r="E262" s="39">
        <v>114540.56600000001</v>
      </c>
      <c r="F262" s="39">
        <v>-4064.473</v>
      </c>
    </row>
    <row r="263" spans="1:6" x14ac:dyDescent="0.25">
      <c r="A263" s="45" t="s">
        <v>182</v>
      </c>
      <c r="B263" s="27">
        <f>E265-E262</f>
        <v>4.7239999999874271</v>
      </c>
      <c r="C263" s="27">
        <f>F265-F262</f>
        <v>-14.827000000000226</v>
      </c>
      <c r="D263" s="18" t="s">
        <v>37</v>
      </c>
      <c r="E263" s="18">
        <v>114545.306</v>
      </c>
      <c r="F263" s="27">
        <v>-4079.3029999999999</v>
      </c>
    </row>
    <row r="264" spans="1:6" x14ac:dyDescent="0.25">
      <c r="A264" s="39">
        <v>15.56</v>
      </c>
      <c r="D264" s="18"/>
      <c r="E264" s="27">
        <f>E265-E263</f>
        <v>-1.6000000003259629E-2</v>
      </c>
      <c r="F264" s="27">
        <f>F265-F263</f>
        <v>2.9999999997016857E-3</v>
      </c>
    </row>
    <row r="265" spans="1:6" x14ac:dyDescent="0.25">
      <c r="A265" s="39"/>
      <c r="D265" s="30" t="s">
        <v>328</v>
      </c>
      <c r="E265" s="30">
        <v>114545.29</v>
      </c>
      <c r="F265" s="72">
        <v>-4079.3</v>
      </c>
    </row>
    <row r="266" spans="1:6" x14ac:dyDescent="0.25">
      <c r="A266" s="18"/>
      <c r="D266" s="18"/>
      <c r="E266" s="18"/>
      <c r="F266" s="18"/>
    </row>
    <row r="267" spans="1:6" x14ac:dyDescent="0.25">
      <c r="A267" s="48" t="s">
        <v>227</v>
      </c>
      <c r="D267" s="18" t="s">
        <v>37</v>
      </c>
      <c r="E267" s="18">
        <v>114545.29</v>
      </c>
      <c r="F267" s="27">
        <v>-4079.3</v>
      </c>
    </row>
    <row r="268" spans="1:6" x14ac:dyDescent="0.25">
      <c r="A268" s="45" t="s">
        <v>182</v>
      </c>
      <c r="B268" s="18">
        <f>E270-E267</f>
        <v>4.7300000000104774</v>
      </c>
      <c r="C268" s="27">
        <f>F270-F267</f>
        <v>-14.819999999999709</v>
      </c>
      <c r="D268" s="18" t="s">
        <v>38</v>
      </c>
      <c r="E268" s="18">
        <v>114550.035</v>
      </c>
      <c r="F268" s="27">
        <v>-4094.1149999999998</v>
      </c>
    </row>
    <row r="269" spans="1:6" x14ac:dyDescent="0.25">
      <c r="A269" s="39">
        <v>15.56</v>
      </c>
      <c r="D269" s="18"/>
      <c r="E269" s="27">
        <f>E270-E268</f>
        <v>-1.4999999999417923E-2</v>
      </c>
      <c r="F269" s="27">
        <f>F270-F268</f>
        <v>-5.0000000001091394E-3</v>
      </c>
    </row>
    <row r="270" spans="1:6" x14ac:dyDescent="0.25">
      <c r="A270" s="39"/>
      <c r="D270" s="30" t="s">
        <v>328</v>
      </c>
      <c r="E270" s="30">
        <v>114550.02</v>
      </c>
      <c r="F270" s="30">
        <v>-4094.12</v>
      </c>
    </row>
    <row r="271" spans="1:6" x14ac:dyDescent="0.25">
      <c r="A271" s="18"/>
      <c r="D271" s="18"/>
      <c r="E271" s="18"/>
      <c r="F271" s="18"/>
    </row>
    <row r="272" spans="1:6" x14ac:dyDescent="0.25">
      <c r="A272" s="48" t="s">
        <v>228</v>
      </c>
      <c r="D272" s="18" t="s">
        <v>38</v>
      </c>
      <c r="E272" s="18">
        <v>114550.02</v>
      </c>
      <c r="F272" s="18">
        <v>-4094.12</v>
      </c>
    </row>
    <row r="273" spans="1:6" x14ac:dyDescent="0.25">
      <c r="A273" s="45" t="s">
        <v>182</v>
      </c>
      <c r="B273" s="18">
        <f>E275-E272</f>
        <v>5.0500000000029104</v>
      </c>
      <c r="C273" s="27">
        <f>F275-F272</f>
        <v>-15.880000000000109</v>
      </c>
      <c r="D273" s="18" t="s">
        <v>39</v>
      </c>
      <c r="E273" s="18">
        <v>114555.069</v>
      </c>
      <c r="F273" s="27">
        <v>-4109.9849999999997</v>
      </c>
    </row>
    <row r="274" spans="1:6" x14ac:dyDescent="0.25">
      <c r="A274" s="39">
        <v>16.66</v>
      </c>
      <c r="D274" s="18"/>
      <c r="E274" s="27">
        <f>E275-E273</f>
        <v>1.0000000038417056E-3</v>
      </c>
      <c r="F274" s="27">
        <f>F275-F273</f>
        <v>-1.5000000000327418E-2</v>
      </c>
    </row>
    <row r="275" spans="1:6" x14ac:dyDescent="0.25">
      <c r="A275" s="39"/>
      <c r="D275" s="30" t="s">
        <v>328</v>
      </c>
      <c r="E275" s="30">
        <v>114555.07</v>
      </c>
      <c r="F275" s="72">
        <v>-4110</v>
      </c>
    </row>
    <row r="276" spans="1:6" x14ac:dyDescent="0.25">
      <c r="A276" s="18"/>
      <c r="D276" s="18"/>
      <c r="E276" s="18"/>
      <c r="F276" s="18"/>
    </row>
    <row r="277" spans="1:6" x14ac:dyDescent="0.25">
      <c r="A277" s="48" t="s">
        <v>314</v>
      </c>
      <c r="D277" s="18" t="s">
        <v>39</v>
      </c>
      <c r="E277" s="18">
        <v>114555.07</v>
      </c>
      <c r="F277" s="27">
        <v>-4110</v>
      </c>
    </row>
    <row r="278" spans="1:6" x14ac:dyDescent="0.25">
      <c r="A278" s="45" t="s">
        <v>182</v>
      </c>
      <c r="B278" s="27">
        <f>E280-E277</f>
        <v>4.3989999999903375</v>
      </c>
      <c r="C278" s="27">
        <f>F280-F277</f>
        <v>-13.789999999999964</v>
      </c>
      <c r="D278" s="18" t="s">
        <v>40</v>
      </c>
      <c r="E278" s="18">
        <v>114559.486</v>
      </c>
      <c r="F278" s="18">
        <v>-4123.78</v>
      </c>
    </row>
    <row r="279" spans="1:6" x14ac:dyDescent="0.25">
      <c r="A279" s="18">
        <v>14.47</v>
      </c>
      <c r="D279" s="18"/>
      <c r="E279" s="27">
        <f>E280-E278</f>
        <v>-1.7000000007101335E-2</v>
      </c>
      <c r="F279" s="18">
        <f>F280-F278</f>
        <v>-1.0000000000218279E-2</v>
      </c>
    </row>
    <row r="280" spans="1:6" x14ac:dyDescent="0.25">
      <c r="A280" s="18"/>
      <c r="D280" s="30" t="s">
        <v>328</v>
      </c>
      <c r="E280" s="44">
        <v>114559.469</v>
      </c>
      <c r="F280" s="38">
        <v>-4123.79</v>
      </c>
    </row>
    <row r="281" spans="1:6" x14ac:dyDescent="0.25">
      <c r="A281" s="18"/>
      <c r="D281" s="18"/>
      <c r="E281" s="18"/>
      <c r="F281" s="18"/>
    </row>
    <row r="282" spans="1:6" x14ac:dyDescent="0.25">
      <c r="A282" s="48" t="s">
        <v>206</v>
      </c>
      <c r="D282" s="18" t="s">
        <v>40</v>
      </c>
      <c r="E282" s="39">
        <v>114559.469</v>
      </c>
      <c r="F282" s="35">
        <v>-4123.79</v>
      </c>
    </row>
    <row r="283" spans="1:6" x14ac:dyDescent="0.25">
      <c r="A283" s="45" t="s">
        <v>181</v>
      </c>
      <c r="B283" s="27">
        <f>E285-E282</f>
        <v>-35.353999999992084</v>
      </c>
      <c r="C283" s="27">
        <f>F285-F282</f>
        <v>-10.951000000000022</v>
      </c>
      <c r="D283" s="18" t="s">
        <v>23</v>
      </c>
      <c r="E283" s="18">
        <v>114524.125</v>
      </c>
      <c r="F283" s="27">
        <v>-4134.7309999999998</v>
      </c>
    </row>
    <row r="284" spans="1:6" x14ac:dyDescent="0.25">
      <c r="A284" s="18">
        <v>37.01</v>
      </c>
      <c r="D284" s="18"/>
      <c r="E284" s="27">
        <f>E285-E283</f>
        <v>-9.9999999947613105E-3</v>
      </c>
      <c r="F284" s="27">
        <f>F285-F283</f>
        <v>-1.0000000000218279E-2</v>
      </c>
    </row>
    <row r="285" spans="1:6" x14ac:dyDescent="0.25">
      <c r="A285" s="18"/>
      <c r="D285" s="30" t="s">
        <v>328</v>
      </c>
      <c r="E285" s="44">
        <v>114524.11500000001</v>
      </c>
      <c r="F285" s="44">
        <v>-4134.741</v>
      </c>
    </row>
    <row r="286" spans="1:6" x14ac:dyDescent="0.25">
      <c r="A286" s="18"/>
      <c r="D286" s="18"/>
      <c r="E286" s="18"/>
      <c r="F286" s="18"/>
    </row>
    <row r="287" spans="1:6" x14ac:dyDescent="0.25">
      <c r="A287" s="18"/>
      <c r="D287" s="18"/>
      <c r="E287" s="18"/>
      <c r="F287" s="18"/>
    </row>
    <row r="288" spans="1:6" x14ac:dyDescent="0.25">
      <c r="A288" s="18"/>
      <c r="D288" s="18"/>
      <c r="E288" s="18"/>
      <c r="F288" s="18"/>
    </row>
    <row r="289" spans="1:6" x14ac:dyDescent="0.25">
      <c r="A289" s="48" t="s">
        <v>237</v>
      </c>
      <c r="D289" s="18" t="s">
        <v>51</v>
      </c>
      <c r="E289" s="39">
        <v>114566.8</v>
      </c>
      <c r="F289" s="39">
        <v>-4039.7260000000001</v>
      </c>
    </row>
    <row r="290" spans="1:6" x14ac:dyDescent="0.25">
      <c r="A290" s="45" t="s">
        <v>181</v>
      </c>
      <c r="B290" s="27">
        <f>E292-E289</f>
        <v>-4.3000000000029104</v>
      </c>
      <c r="C290" s="27">
        <f>F292-F289</f>
        <v>-1.3339999999998327</v>
      </c>
      <c r="D290" s="18" t="s">
        <v>203</v>
      </c>
      <c r="E290" s="27">
        <v>114562.496</v>
      </c>
      <c r="F290" s="27">
        <v>-4041.0509999999999</v>
      </c>
    </row>
    <row r="291" spans="1:6" x14ac:dyDescent="0.25">
      <c r="A291" s="39">
        <v>4.5</v>
      </c>
      <c r="D291" s="18"/>
      <c r="E291" s="27">
        <f>E292-E290</f>
        <v>4.0000000008149073E-3</v>
      </c>
      <c r="F291" s="27">
        <f>F292-F290</f>
        <v>-9.0000000000145519E-3</v>
      </c>
    </row>
    <row r="292" spans="1:6" x14ac:dyDescent="0.25">
      <c r="A292" s="39"/>
      <c r="D292" s="30" t="s">
        <v>328</v>
      </c>
      <c r="E292" s="72">
        <v>114562.5</v>
      </c>
      <c r="F292" s="30">
        <v>-4041.06</v>
      </c>
    </row>
    <row r="293" spans="1:6" x14ac:dyDescent="0.25">
      <c r="A293" s="18"/>
      <c r="D293" s="18"/>
      <c r="E293" s="18"/>
      <c r="F293" s="18"/>
    </row>
    <row r="294" spans="1:6" x14ac:dyDescent="0.25">
      <c r="A294" s="48" t="s">
        <v>224</v>
      </c>
      <c r="D294" s="18" t="s">
        <v>203</v>
      </c>
      <c r="E294" s="27">
        <v>114562.5</v>
      </c>
      <c r="F294" s="18">
        <v>-4041.06</v>
      </c>
    </row>
    <row r="295" spans="1:6" x14ac:dyDescent="0.25">
      <c r="A295" s="45" t="s">
        <v>212</v>
      </c>
      <c r="B295" s="27">
        <f>E297-E294</f>
        <v>-26.755000000004657</v>
      </c>
      <c r="C295" s="27">
        <f>F297-F294</f>
        <v>-8.2860000000000582</v>
      </c>
      <c r="D295" s="18" t="s">
        <v>35</v>
      </c>
      <c r="E295" s="18">
        <v>114535.742</v>
      </c>
      <c r="F295" s="18">
        <v>-4049.35</v>
      </c>
    </row>
    <row r="296" spans="1:6" x14ac:dyDescent="0.25">
      <c r="A296" s="39">
        <v>28.01</v>
      </c>
      <c r="D296" s="18"/>
      <c r="E296" s="27">
        <f>E297-E295</f>
        <v>2.9999999969732016E-3</v>
      </c>
      <c r="F296" s="27">
        <f>F297-F295</f>
        <v>3.9999999999054126E-3</v>
      </c>
    </row>
    <row r="297" spans="1:6" x14ac:dyDescent="0.25">
      <c r="A297" s="39"/>
      <c r="D297" s="30" t="s">
        <v>328</v>
      </c>
      <c r="E297" s="44">
        <v>114535.745</v>
      </c>
      <c r="F297" s="44">
        <v>-4049.346</v>
      </c>
    </row>
    <row r="298" spans="1:6" x14ac:dyDescent="0.25">
      <c r="A298" s="18"/>
      <c r="D298" s="18"/>
      <c r="E298" s="18"/>
      <c r="F298" s="18"/>
    </row>
    <row r="299" spans="1:6" x14ac:dyDescent="0.25">
      <c r="A299" s="48" t="s">
        <v>225</v>
      </c>
      <c r="D299" s="18" t="s">
        <v>35</v>
      </c>
      <c r="E299" s="39">
        <v>114535.745</v>
      </c>
      <c r="F299" s="39">
        <v>-4049.346</v>
      </c>
    </row>
    <row r="300" spans="1:6" x14ac:dyDescent="0.25">
      <c r="A300" s="45" t="s">
        <v>182</v>
      </c>
      <c r="B300" s="27">
        <f>E302-E299</f>
        <v>4.8210000000108266</v>
      </c>
      <c r="C300" s="27">
        <f>F302-F299</f>
        <v>-15.126999999999953</v>
      </c>
      <c r="D300" s="18" t="s">
        <v>36</v>
      </c>
      <c r="E300" s="18">
        <v>114540.564</v>
      </c>
      <c r="F300" s="27">
        <v>-4064.4659999999999</v>
      </c>
    </row>
    <row r="301" spans="1:6" x14ac:dyDescent="0.25">
      <c r="A301" s="39">
        <v>15.88</v>
      </c>
      <c r="D301" s="18"/>
      <c r="E301" s="27">
        <f>E302-E300</f>
        <v>2.0000000076834112E-3</v>
      </c>
      <c r="F301" s="27">
        <f>F302-F300</f>
        <v>-7.0000000000618456E-3</v>
      </c>
    </row>
    <row r="302" spans="1:6" x14ac:dyDescent="0.25">
      <c r="A302" s="39"/>
      <c r="D302" s="30" t="s">
        <v>328</v>
      </c>
      <c r="E302" s="44">
        <v>114540.56600000001</v>
      </c>
      <c r="F302" s="44">
        <v>-4064.473</v>
      </c>
    </row>
    <row r="303" spans="1:6" x14ac:dyDescent="0.25">
      <c r="A303" s="18"/>
      <c r="D303" s="18"/>
      <c r="E303" s="18"/>
      <c r="F303" s="18"/>
    </row>
    <row r="304" spans="1:6" x14ac:dyDescent="0.25">
      <c r="A304" s="48" t="s">
        <v>226</v>
      </c>
      <c r="D304" s="18" t="s">
        <v>36</v>
      </c>
      <c r="E304" s="39">
        <v>114540.56600000001</v>
      </c>
      <c r="F304" s="39">
        <v>-4064.473</v>
      </c>
    </row>
    <row r="305" spans="1:6" x14ac:dyDescent="0.25">
      <c r="A305" s="45" t="s">
        <v>182</v>
      </c>
      <c r="B305" s="27">
        <f>E307-E304</f>
        <v>4.7239999999874271</v>
      </c>
      <c r="C305" s="27">
        <f>F307-F304</f>
        <v>-14.827000000000226</v>
      </c>
      <c r="D305" s="18" t="s">
        <v>37</v>
      </c>
      <c r="E305" s="18">
        <v>114545.306</v>
      </c>
      <c r="F305" s="27">
        <v>-4079.3029999999999</v>
      </c>
    </row>
    <row r="306" spans="1:6" x14ac:dyDescent="0.25">
      <c r="A306" s="39">
        <v>15.56</v>
      </c>
      <c r="D306" s="18"/>
      <c r="E306" s="27">
        <f>E307-E305</f>
        <v>-1.6000000003259629E-2</v>
      </c>
      <c r="F306" s="27">
        <f>F307-F305</f>
        <v>2.9999999997016857E-3</v>
      </c>
    </row>
    <row r="307" spans="1:6" x14ac:dyDescent="0.25">
      <c r="A307" s="39"/>
      <c r="D307" s="30" t="s">
        <v>328</v>
      </c>
      <c r="E307" s="30">
        <v>114545.29</v>
      </c>
      <c r="F307" s="72">
        <v>-4079.3</v>
      </c>
    </row>
    <row r="308" spans="1:6" x14ac:dyDescent="0.25">
      <c r="A308" s="39"/>
      <c r="D308" s="30"/>
      <c r="E308" s="30"/>
      <c r="F308" s="72"/>
    </row>
    <row r="309" spans="1:6" x14ac:dyDescent="0.25">
      <c r="A309" s="66" t="s">
        <v>227</v>
      </c>
      <c r="D309" s="18" t="s">
        <v>37</v>
      </c>
      <c r="E309" s="18">
        <v>114545.29</v>
      </c>
      <c r="F309" s="27">
        <v>-4079.3</v>
      </c>
    </row>
    <row r="310" spans="1:6" x14ac:dyDescent="0.25">
      <c r="A310" s="45" t="s">
        <v>182</v>
      </c>
      <c r="B310" s="18">
        <f>E312-E309</f>
        <v>4.7300000000104774</v>
      </c>
      <c r="C310" s="27">
        <f>F312-F309</f>
        <v>-14.819999999999709</v>
      </c>
      <c r="D310" s="18" t="s">
        <v>38</v>
      </c>
      <c r="E310" s="18">
        <v>114550.035</v>
      </c>
      <c r="F310" s="27">
        <v>-4094.1149999999998</v>
      </c>
    </row>
    <row r="311" spans="1:6" x14ac:dyDescent="0.25">
      <c r="A311" s="39">
        <v>15.56</v>
      </c>
      <c r="D311" s="18"/>
      <c r="E311" s="27">
        <f>E312-E310</f>
        <v>-1.4999999999417923E-2</v>
      </c>
      <c r="F311" s="27">
        <f>F312-F310</f>
        <v>-5.0000000001091394E-3</v>
      </c>
    </row>
    <row r="312" spans="1:6" x14ac:dyDescent="0.25">
      <c r="A312" s="39"/>
      <c r="D312" s="30" t="s">
        <v>328</v>
      </c>
      <c r="E312" s="30">
        <v>114550.02</v>
      </c>
      <c r="F312" s="30">
        <v>-4094.12</v>
      </c>
    </row>
    <row r="313" spans="1:6" x14ac:dyDescent="0.25">
      <c r="A313" s="18"/>
      <c r="D313" s="18"/>
      <c r="E313" s="18"/>
      <c r="F313" s="18"/>
    </row>
    <row r="314" spans="1:6" x14ac:dyDescent="0.25">
      <c r="A314" s="48" t="s">
        <v>228</v>
      </c>
      <c r="D314" s="18" t="s">
        <v>38</v>
      </c>
      <c r="E314" s="18">
        <v>114550.02</v>
      </c>
      <c r="F314" s="18">
        <v>-4094.12</v>
      </c>
    </row>
    <row r="315" spans="1:6" x14ac:dyDescent="0.25">
      <c r="A315" s="45" t="s">
        <v>182</v>
      </c>
      <c r="B315" s="18">
        <f>E317-E314</f>
        <v>5.0500000000029104</v>
      </c>
      <c r="C315" s="27">
        <f>F317-F314</f>
        <v>-15.880000000000109</v>
      </c>
      <c r="D315" s="18" t="s">
        <v>39</v>
      </c>
      <c r="E315" s="18">
        <v>114555.069</v>
      </c>
      <c r="F315" s="27">
        <v>-4109.9849999999997</v>
      </c>
    </row>
    <row r="316" spans="1:6" x14ac:dyDescent="0.25">
      <c r="A316" s="39">
        <v>16.66</v>
      </c>
      <c r="D316" s="18"/>
      <c r="E316" s="27">
        <f>E317-E315</f>
        <v>1.0000000038417056E-3</v>
      </c>
      <c r="F316" s="27">
        <f>F317-F315</f>
        <v>-1.5000000000327418E-2</v>
      </c>
    </row>
    <row r="317" spans="1:6" x14ac:dyDescent="0.25">
      <c r="A317" s="39"/>
      <c r="D317" s="30" t="s">
        <v>328</v>
      </c>
      <c r="E317" s="30">
        <v>114555.07</v>
      </c>
      <c r="F317" s="72">
        <v>-4110</v>
      </c>
    </row>
    <row r="318" spans="1:6" x14ac:dyDescent="0.25">
      <c r="A318" s="18"/>
      <c r="D318" s="18"/>
      <c r="E318" s="18"/>
      <c r="F318" s="18"/>
    </row>
    <row r="319" spans="1:6" x14ac:dyDescent="0.25">
      <c r="A319" s="48" t="s">
        <v>314</v>
      </c>
      <c r="D319" s="18" t="s">
        <v>39</v>
      </c>
      <c r="E319" s="18">
        <v>114555.07</v>
      </c>
      <c r="F319" s="27">
        <v>-4110</v>
      </c>
    </row>
    <row r="320" spans="1:6" x14ac:dyDescent="0.25">
      <c r="A320" s="45" t="s">
        <v>182</v>
      </c>
      <c r="B320" s="27">
        <f>E322-E319</f>
        <v>4.3989999999903375</v>
      </c>
      <c r="C320" s="27">
        <f>F322-F319</f>
        <v>-13.789999999999964</v>
      </c>
      <c r="D320" s="18" t="s">
        <v>40</v>
      </c>
      <c r="E320" s="18">
        <v>114559.486</v>
      </c>
      <c r="F320" s="18">
        <v>-4123.78</v>
      </c>
    </row>
    <row r="321" spans="1:6" x14ac:dyDescent="0.25">
      <c r="A321" s="18">
        <v>14.47</v>
      </c>
      <c r="D321" s="18"/>
      <c r="E321" s="27">
        <f>E322-E320</f>
        <v>-1.7000000007101335E-2</v>
      </c>
      <c r="F321" s="18">
        <f>F322-F320</f>
        <v>-1.0000000000218279E-2</v>
      </c>
    </row>
    <row r="322" spans="1:6" x14ac:dyDescent="0.25">
      <c r="A322" s="18"/>
      <c r="D322" s="30" t="s">
        <v>328</v>
      </c>
      <c r="E322" s="44">
        <v>114559.469</v>
      </c>
      <c r="F322" s="38">
        <v>-4123.79</v>
      </c>
    </row>
    <row r="323" spans="1:6" x14ac:dyDescent="0.25">
      <c r="A323" s="18"/>
      <c r="D323" s="18"/>
      <c r="E323" s="18"/>
      <c r="F323" s="18"/>
    </row>
    <row r="324" spans="1:6" x14ac:dyDescent="0.25">
      <c r="A324" s="48" t="s">
        <v>315</v>
      </c>
      <c r="D324" s="18" t="s">
        <v>40</v>
      </c>
      <c r="E324" s="39">
        <v>114559.469</v>
      </c>
      <c r="F324" s="35">
        <v>-4123.79</v>
      </c>
    </row>
    <row r="325" spans="1:6" x14ac:dyDescent="0.25">
      <c r="A325" s="45" t="s">
        <v>212</v>
      </c>
      <c r="B325" s="27">
        <f>E327-E324</f>
        <v>35.354000000006636</v>
      </c>
      <c r="C325" s="27">
        <f>F327-F324</f>
        <v>10.952000000000226</v>
      </c>
      <c r="D325" s="18" t="s">
        <v>64</v>
      </c>
      <c r="E325" s="18">
        <v>114594.848</v>
      </c>
      <c r="F325" s="18">
        <v>-4112.835</v>
      </c>
    </row>
    <row r="326" spans="1:6" x14ac:dyDescent="0.25">
      <c r="A326" s="39">
        <v>37.01</v>
      </c>
      <c r="D326" s="18"/>
      <c r="E326" s="27">
        <f>E327-E325</f>
        <v>-2.4999999994179234E-2</v>
      </c>
      <c r="F326" s="27">
        <f>F327-F325</f>
        <v>-2.9999999997016857E-3</v>
      </c>
    </row>
    <row r="327" spans="1:6" x14ac:dyDescent="0.25">
      <c r="A327" s="39"/>
      <c r="D327" s="30" t="s">
        <v>328</v>
      </c>
      <c r="E327" s="44">
        <v>114594.823</v>
      </c>
      <c r="F327" s="44">
        <v>-4112.8379999999997</v>
      </c>
    </row>
    <row r="328" spans="1:6" x14ac:dyDescent="0.25">
      <c r="A328" s="18"/>
      <c r="D328" s="18"/>
      <c r="E328" s="18"/>
      <c r="F328" s="18"/>
    </row>
    <row r="329" spans="1:6" x14ac:dyDescent="0.25">
      <c r="A329" s="48" t="s">
        <v>316</v>
      </c>
      <c r="D329" s="18" t="s">
        <v>64</v>
      </c>
      <c r="E329" s="39">
        <v>114594.823</v>
      </c>
      <c r="F329" s="39">
        <v>-4112.8379999999997</v>
      </c>
    </row>
    <row r="330" spans="1:6" x14ac:dyDescent="0.25">
      <c r="A330" s="45" t="s">
        <v>179</v>
      </c>
      <c r="B330" s="27">
        <f>E332-E329</f>
        <v>-3.3830000000016298</v>
      </c>
      <c r="C330" s="27">
        <f>F332-F329</f>
        <v>10.60399999999936</v>
      </c>
      <c r="D330" s="18" t="s">
        <v>63</v>
      </c>
      <c r="E330" s="18">
        <v>114591.44100000001</v>
      </c>
      <c r="F330" s="18">
        <v>-4102.24</v>
      </c>
    </row>
    <row r="331" spans="1:6" x14ac:dyDescent="0.25">
      <c r="A331" s="18">
        <v>11.13</v>
      </c>
      <c r="D331" s="18"/>
      <c r="E331" s="27">
        <f>E332-E330</f>
        <v>-1.0000000038417056E-3</v>
      </c>
      <c r="F331" s="27">
        <f>F332-F330</f>
        <v>5.9999999994033715E-3</v>
      </c>
    </row>
    <row r="332" spans="1:6" x14ac:dyDescent="0.25">
      <c r="A332" s="18"/>
      <c r="D332" s="30" t="s">
        <v>328</v>
      </c>
      <c r="E332" s="44">
        <v>114591.44</v>
      </c>
      <c r="F332" s="44">
        <v>-4102.2340000000004</v>
      </c>
    </row>
    <row r="333" spans="1:6" x14ac:dyDescent="0.25">
      <c r="A333" s="18"/>
      <c r="D333" s="18"/>
      <c r="E333" s="18"/>
      <c r="F333" s="18"/>
    </row>
    <row r="334" spans="1:6" x14ac:dyDescent="0.25">
      <c r="A334" s="48" t="s">
        <v>317</v>
      </c>
      <c r="D334" s="18" t="s">
        <v>63</v>
      </c>
      <c r="E334" s="39">
        <v>114591.44</v>
      </c>
      <c r="F334" s="39">
        <v>-4102.2340000000004</v>
      </c>
    </row>
    <row r="335" spans="1:6" x14ac:dyDescent="0.25">
      <c r="A335" s="45" t="s">
        <v>181</v>
      </c>
      <c r="B335" s="27">
        <f>E337-E334</f>
        <v>-8.5939999999973224</v>
      </c>
      <c r="C335" s="27">
        <f>F337-F334</f>
        <v>-2.6629999999995562</v>
      </c>
      <c r="D335" s="18" t="s">
        <v>41</v>
      </c>
      <c r="E335" s="18">
        <v>114582.86199999999</v>
      </c>
      <c r="F335" s="18">
        <v>-4104.8869999999997</v>
      </c>
    </row>
    <row r="336" spans="1:6" x14ac:dyDescent="0.25">
      <c r="A336" s="27">
        <v>9</v>
      </c>
      <c r="D336" s="18"/>
      <c r="E336" s="27">
        <f>E337-E335</f>
        <v>-1.5999999988707714E-2</v>
      </c>
      <c r="F336" s="18">
        <f>F337-F335</f>
        <v>-1.0000000000218279E-2</v>
      </c>
    </row>
    <row r="337" spans="1:6" x14ac:dyDescent="0.25">
      <c r="A337" s="27"/>
      <c r="D337" s="30" t="s">
        <v>328</v>
      </c>
      <c r="E337" s="72">
        <v>114582.84600000001</v>
      </c>
      <c r="F337" s="72">
        <v>-4104.8969999999999</v>
      </c>
    </row>
    <row r="338" spans="1:6" x14ac:dyDescent="0.25">
      <c r="A338" s="27"/>
      <c r="D338" s="30"/>
      <c r="E338" s="72"/>
      <c r="F338" s="30"/>
    </row>
    <row r="339" spans="1:6" x14ac:dyDescent="0.25">
      <c r="A339" s="48" t="s">
        <v>318</v>
      </c>
      <c r="D339" s="18" t="s">
        <v>41</v>
      </c>
      <c r="E339" s="27">
        <v>114582.84600000001</v>
      </c>
      <c r="F339" s="27">
        <v>-4104.8969999999999</v>
      </c>
    </row>
    <row r="340" spans="1:6" x14ac:dyDescent="0.25">
      <c r="A340" s="45" t="s">
        <v>179</v>
      </c>
      <c r="B340" s="27">
        <f>E342-E339</f>
        <v>-1.0160000000032596</v>
      </c>
      <c r="C340" s="18">
        <f>F342-F339</f>
        <v>3.1869999999998981</v>
      </c>
      <c r="D340" s="18" t="s">
        <v>42</v>
      </c>
      <c r="E340" s="18">
        <v>114581.838</v>
      </c>
      <c r="F340" s="27">
        <v>-4101.759</v>
      </c>
    </row>
    <row r="341" spans="1:6" x14ac:dyDescent="0.25">
      <c r="A341" s="18">
        <v>3.34</v>
      </c>
      <c r="D341" s="18"/>
      <c r="E341" s="27">
        <f>E342-E340</f>
        <v>-8.0000000016298145E-3</v>
      </c>
      <c r="F341" s="27">
        <f>F342-F340</f>
        <v>4.8999999999978172E-2</v>
      </c>
    </row>
    <row r="342" spans="1:6" x14ac:dyDescent="0.25">
      <c r="A342" s="18"/>
      <c r="D342" s="30" t="s">
        <v>328</v>
      </c>
      <c r="E342" s="30">
        <v>114581.83</v>
      </c>
      <c r="F342" s="30">
        <v>-4101.71</v>
      </c>
    </row>
    <row r="343" spans="1:6" x14ac:dyDescent="0.25">
      <c r="A343" s="18"/>
      <c r="D343" s="30"/>
      <c r="E343" s="30"/>
      <c r="F343" s="30"/>
    </row>
    <row r="344" spans="1:6" x14ac:dyDescent="0.25">
      <c r="A344" s="48" t="s">
        <v>230</v>
      </c>
      <c r="D344" s="18" t="s">
        <v>42</v>
      </c>
      <c r="E344" s="18">
        <v>114581.83</v>
      </c>
      <c r="F344" s="18">
        <v>-4101.71</v>
      </c>
    </row>
    <row r="345" spans="1:6" x14ac:dyDescent="0.25">
      <c r="A345" s="45" t="s">
        <v>179</v>
      </c>
      <c r="B345" s="27">
        <f>E347-E344</f>
        <v>-1.7050000000017462</v>
      </c>
      <c r="C345" s="27">
        <f>F347-F344</f>
        <v>5.3540000000002692</v>
      </c>
      <c r="D345" s="18" t="s">
        <v>203</v>
      </c>
      <c r="E345" s="18">
        <v>114580.132</v>
      </c>
      <c r="F345" s="27">
        <v>-4096.3530000000001</v>
      </c>
    </row>
    <row r="346" spans="1:6" x14ac:dyDescent="0.25">
      <c r="A346" s="39">
        <v>5.62</v>
      </c>
      <c r="D346" s="18"/>
      <c r="E346" s="27">
        <f>E347-E345</f>
        <v>-6.9999999977881089E-3</v>
      </c>
      <c r="F346" s="27">
        <f>F347-F345</f>
        <v>-2.9999999997016857E-3</v>
      </c>
    </row>
    <row r="347" spans="1:6" x14ac:dyDescent="0.25">
      <c r="A347" s="39"/>
      <c r="D347" s="30" t="s">
        <v>328</v>
      </c>
      <c r="E347" s="44">
        <v>114580.125</v>
      </c>
      <c r="F347" s="44">
        <v>-4096.3559999999998</v>
      </c>
    </row>
    <row r="348" spans="1:6" x14ac:dyDescent="0.25">
      <c r="A348" s="18"/>
      <c r="D348" s="18"/>
      <c r="E348" s="18"/>
      <c r="F348" s="18"/>
    </row>
    <row r="349" spans="1:6" x14ac:dyDescent="0.25">
      <c r="A349" s="48" t="s">
        <v>229</v>
      </c>
      <c r="D349" s="18" t="s">
        <v>203</v>
      </c>
      <c r="E349" s="39">
        <v>114580.125</v>
      </c>
      <c r="F349" s="39">
        <v>-4096.3559999999998</v>
      </c>
    </row>
    <row r="350" spans="1:6" x14ac:dyDescent="0.25">
      <c r="A350" s="45" t="s">
        <v>212</v>
      </c>
      <c r="B350" s="27">
        <f>E352-E349</f>
        <v>4.2949999999982538</v>
      </c>
      <c r="C350" s="27">
        <f>F352-F349</f>
        <v>1.3459999999995489</v>
      </c>
      <c r="D350" s="18" t="s">
        <v>45</v>
      </c>
      <c r="E350" s="18">
        <v>114584.421</v>
      </c>
      <c r="F350" s="27">
        <v>-4094.9989999999998</v>
      </c>
    </row>
    <row r="351" spans="1:6" x14ac:dyDescent="0.25">
      <c r="A351" s="39">
        <v>4.5</v>
      </c>
      <c r="D351" s="18"/>
      <c r="E351" s="27">
        <f>E352-E350</f>
        <v>-1.0000000038417056E-3</v>
      </c>
      <c r="F351" s="27">
        <f>F352-F350</f>
        <v>-1.1000000000422006E-2</v>
      </c>
    </row>
    <row r="352" spans="1:6" x14ac:dyDescent="0.25">
      <c r="A352" s="39"/>
      <c r="D352" s="30" t="s">
        <v>328</v>
      </c>
      <c r="E352" s="30">
        <v>114584.42</v>
      </c>
      <c r="F352" s="30">
        <v>-4095.01</v>
      </c>
    </row>
    <row r="353" spans="1:6" x14ac:dyDescent="0.25">
      <c r="A353" s="18"/>
      <c r="D353" s="18"/>
      <c r="E353" s="18"/>
      <c r="F353" s="18"/>
    </row>
    <row r="354" spans="1:6" x14ac:dyDescent="0.25">
      <c r="A354" s="48" t="s">
        <v>231</v>
      </c>
      <c r="D354" s="18" t="s">
        <v>45</v>
      </c>
      <c r="E354" s="18">
        <v>114584.42</v>
      </c>
      <c r="F354" s="18">
        <v>-4095.01</v>
      </c>
    </row>
    <row r="355" spans="1:6" x14ac:dyDescent="0.25">
      <c r="A355" s="45" t="s">
        <v>179</v>
      </c>
      <c r="B355" s="27">
        <f>E357-E354</f>
        <v>-1.3739999999961583</v>
      </c>
      <c r="C355" s="27">
        <f>F357-F354</f>
        <v>4.3079999999999927</v>
      </c>
      <c r="D355" s="18" t="s">
        <v>200</v>
      </c>
      <c r="E355" s="18">
        <v>114583.04300000001</v>
      </c>
      <c r="F355" s="27">
        <v>-4090.712</v>
      </c>
    </row>
    <row r="356" spans="1:6" x14ac:dyDescent="0.25">
      <c r="A356" s="39">
        <v>4.5</v>
      </c>
      <c r="D356" s="18"/>
      <c r="E356" s="27">
        <f>E357-E355</f>
        <v>2.9999999969732016E-3</v>
      </c>
      <c r="F356" s="27">
        <f>F357-F355</f>
        <v>9.9999999997635314E-3</v>
      </c>
    </row>
    <row r="357" spans="1:6" x14ac:dyDescent="0.25">
      <c r="A357" s="39"/>
      <c r="D357" s="30" t="s">
        <v>328</v>
      </c>
      <c r="E357" s="44">
        <v>114583.046</v>
      </c>
      <c r="F357" s="44">
        <v>-4090.7020000000002</v>
      </c>
    </row>
    <row r="358" spans="1:6" x14ac:dyDescent="0.25">
      <c r="A358" s="18"/>
      <c r="D358" s="18"/>
      <c r="E358" s="18"/>
      <c r="F358" s="18"/>
    </row>
    <row r="359" spans="1:6" x14ac:dyDescent="0.25">
      <c r="A359" s="48" t="s">
        <v>232</v>
      </c>
      <c r="D359" s="18" t="s">
        <v>200</v>
      </c>
      <c r="E359" s="39">
        <v>114583.046</v>
      </c>
      <c r="F359" s="39">
        <v>-4090.7020000000002</v>
      </c>
    </row>
    <row r="360" spans="1:6" x14ac:dyDescent="0.25">
      <c r="A360" s="45" t="s">
        <v>179</v>
      </c>
      <c r="B360" s="27">
        <f>E362-E359</f>
        <v>-1.9750000000058208</v>
      </c>
      <c r="C360" s="27">
        <f>F362-F359</f>
        <v>6.1970000000001164</v>
      </c>
      <c r="D360" s="18" t="s">
        <v>46</v>
      </c>
      <c r="E360" s="18">
        <v>114581.076</v>
      </c>
      <c r="F360" s="18">
        <v>-4084.49</v>
      </c>
    </row>
    <row r="361" spans="1:6" x14ac:dyDescent="0.25">
      <c r="A361" s="39">
        <v>6.5039999999999996</v>
      </c>
      <c r="D361" s="18"/>
      <c r="E361" s="27">
        <f>E362-E360</f>
        <v>-5.0000000046566129E-3</v>
      </c>
      <c r="F361" s="27">
        <f>F362-F360</f>
        <v>-1.5000000000327418E-2</v>
      </c>
    </row>
    <row r="362" spans="1:6" x14ac:dyDescent="0.25">
      <c r="A362" s="18"/>
      <c r="D362" s="30" t="s">
        <v>328</v>
      </c>
      <c r="E362" s="44">
        <v>114581.071</v>
      </c>
      <c r="F362" s="44">
        <v>-4084.5050000000001</v>
      </c>
    </row>
    <row r="363" spans="1:6" x14ac:dyDescent="0.25">
      <c r="A363" s="18"/>
      <c r="D363" s="30"/>
      <c r="E363" s="44"/>
      <c r="F363" s="44"/>
    </row>
    <row r="364" spans="1:6" x14ac:dyDescent="0.25">
      <c r="A364" s="48" t="s">
        <v>233</v>
      </c>
      <c r="D364" s="18" t="s">
        <v>46</v>
      </c>
      <c r="E364" s="39">
        <v>114581.071</v>
      </c>
      <c r="F364" s="39">
        <v>-4084.5050000000001</v>
      </c>
    </row>
    <row r="365" spans="1:6" x14ac:dyDescent="0.25">
      <c r="A365" s="45" t="s">
        <v>179</v>
      </c>
      <c r="B365" s="27">
        <f>E367-E364</f>
        <v>-4.7249999999912689</v>
      </c>
      <c r="C365" s="27">
        <f>F367-F364</f>
        <v>14.826000000000022</v>
      </c>
      <c r="D365" s="18" t="s">
        <v>47</v>
      </c>
      <c r="E365" s="18">
        <v>114576.336</v>
      </c>
      <c r="F365" s="27">
        <v>-4069.683</v>
      </c>
    </row>
    <row r="366" spans="1:6" x14ac:dyDescent="0.25">
      <c r="A366" s="39">
        <v>15.56</v>
      </c>
      <c r="D366" s="18"/>
      <c r="E366" s="27">
        <f>E367-E365</f>
        <v>1.0000000009313226E-2</v>
      </c>
      <c r="F366" s="27">
        <f>F367-F365</f>
        <v>3.9999999999054126E-3</v>
      </c>
    </row>
    <row r="367" spans="1:6" x14ac:dyDescent="0.25">
      <c r="A367" s="39"/>
      <c r="D367" s="30" t="s">
        <v>328</v>
      </c>
      <c r="E367" s="44">
        <v>114576.34600000001</v>
      </c>
      <c r="F367" s="44">
        <v>-4069.6790000000001</v>
      </c>
    </row>
    <row r="368" spans="1:6" x14ac:dyDescent="0.25">
      <c r="A368" s="18"/>
      <c r="D368" s="18"/>
      <c r="E368" s="18"/>
      <c r="F368" s="18"/>
    </row>
    <row r="369" spans="1:6" x14ac:dyDescent="0.25">
      <c r="A369" s="48" t="s">
        <v>234</v>
      </c>
      <c r="D369" s="18" t="s">
        <v>47</v>
      </c>
      <c r="E369" s="39">
        <v>114576.34600000001</v>
      </c>
      <c r="F369" s="39">
        <v>-4069.6790000000001</v>
      </c>
    </row>
    <row r="370" spans="1:6" x14ac:dyDescent="0.25">
      <c r="A370" s="45" t="s">
        <v>179</v>
      </c>
      <c r="B370" s="27">
        <f>E372-E369</f>
        <v>-4.7260000000096625</v>
      </c>
      <c r="C370" s="27">
        <f>F372-F369</f>
        <v>14.829000000000178</v>
      </c>
      <c r="D370" s="18" t="s">
        <v>48</v>
      </c>
      <c r="E370" s="18">
        <v>114571.625</v>
      </c>
      <c r="F370" s="18">
        <v>-4054.85</v>
      </c>
    </row>
    <row r="371" spans="1:6" x14ac:dyDescent="0.25">
      <c r="A371" s="39">
        <v>15.56</v>
      </c>
      <c r="D371" s="18"/>
      <c r="E371" s="27">
        <f>E372-E370</f>
        <v>-5.0000000046566129E-3</v>
      </c>
      <c r="F371" s="18">
        <f>F372-F370</f>
        <v>0</v>
      </c>
    </row>
    <row r="372" spans="1:6" x14ac:dyDescent="0.25">
      <c r="A372" s="39"/>
      <c r="D372" s="30" t="s">
        <v>328</v>
      </c>
      <c r="E372" s="30">
        <v>114571.62</v>
      </c>
      <c r="F372" s="30">
        <v>-4054.85</v>
      </c>
    </row>
    <row r="373" spans="1:6" x14ac:dyDescent="0.25">
      <c r="A373" s="18"/>
      <c r="D373" s="18"/>
      <c r="E373" s="18"/>
      <c r="F373" s="18"/>
    </row>
    <row r="374" spans="1:6" x14ac:dyDescent="0.25">
      <c r="A374" s="48" t="s">
        <v>235</v>
      </c>
      <c r="D374" s="18" t="s">
        <v>48</v>
      </c>
      <c r="E374" s="18">
        <v>114571.62</v>
      </c>
      <c r="F374" s="18">
        <v>-4054.85</v>
      </c>
    </row>
    <row r="375" spans="1:6" x14ac:dyDescent="0.25">
      <c r="A375" s="45" t="s">
        <v>179</v>
      </c>
      <c r="B375" s="27">
        <f>E377-E374</f>
        <v>-3.4529999999940628</v>
      </c>
      <c r="C375" s="27">
        <f>F377-F374</f>
        <v>10.835999999999785</v>
      </c>
      <c r="D375" s="18" t="s">
        <v>200</v>
      </c>
      <c r="E375" s="18">
        <v>114568.18799999999</v>
      </c>
      <c r="F375" s="27">
        <v>-4043.998</v>
      </c>
    </row>
    <row r="376" spans="1:6" x14ac:dyDescent="0.25">
      <c r="A376" s="39">
        <v>11.38</v>
      </c>
      <c r="D376" s="18"/>
      <c r="E376" s="27">
        <f>E377-E375</f>
        <v>-2.0999999993364327E-2</v>
      </c>
      <c r="F376" s="27">
        <f>F377-F375</f>
        <v>-1.6000000000076398E-2</v>
      </c>
    </row>
    <row r="377" spans="1:6" x14ac:dyDescent="0.25">
      <c r="A377" s="39"/>
      <c r="D377" s="30" t="s">
        <v>328</v>
      </c>
      <c r="E377" s="44">
        <v>114568.167</v>
      </c>
      <c r="F377" s="44">
        <v>-4044.0140000000001</v>
      </c>
    </row>
    <row r="378" spans="1:6" x14ac:dyDescent="0.25">
      <c r="A378" s="18"/>
      <c r="D378" s="18"/>
      <c r="E378" s="18"/>
      <c r="F378" s="18"/>
    </row>
    <row r="379" spans="1:6" x14ac:dyDescent="0.25">
      <c r="A379" s="48" t="s">
        <v>236</v>
      </c>
      <c r="D379" s="18" t="s">
        <v>200</v>
      </c>
      <c r="E379" s="39">
        <v>114568.167</v>
      </c>
      <c r="F379" s="39">
        <v>-4044.0140000000001</v>
      </c>
    </row>
    <row r="380" spans="1:6" x14ac:dyDescent="0.25">
      <c r="A380" s="45" t="s">
        <v>179</v>
      </c>
      <c r="B380" s="27">
        <f>E382-E379</f>
        <v>-1.3669999999983702</v>
      </c>
      <c r="C380" s="27">
        <f>F382-F379</f>
        <v>4.2880000000000109</v>
      </c>
      <c r="D380" s="18" t="s">
        <v>51</v>
      </c>
      <c r="E380" s="27">
        <v>114566.799</v>
      </c>
      <c r="F380" s="27">
        <v>-4039.7069999999999</v>
      </c>
    </row>
    <row r="381" spans="1:6" x14ac:dyDescent="0.25">
      <c r="A381" s="39">
        <v>4.5</v>
      </c>
      <c r="D381" s="18"/>
      <c r="E381" s="27">
        <f>E382-E380</f>
        <v>1.0000000038417056E-3</v>
      </c>
      <c r="F381" s="27">
        <f>F382-F380</f>
        <v>-1.9000000000232831E-2</v>
      </c>
    </row>
    <row r="382" spans="1:6" x14ac:dyDescent="0.25">
      <c r="A382" s="18"/>
      <c r="D382" s="30" t="s">
        <v>328</v>
      </c>
      <c r="E382" s="44">
        <v>114566.8</v>
      </c>
      <c r="F382" s="44">
        <v>-4039.7260000000001</v>
      </c>
    </row>
    <row r="383" spans="1:6" x14ac:dyDescent="0.25">
      <c r="A383" s="18"/>
      <c r="D383" s="18"/>
      <c r="E383" s="18"/>
      <c r="F383" s="18"/>
    </row>
    <row r="384" spans="1:6" x14ac:dyDescent="0.25">
      <c r="A384" s="18"/>
      <c r="D384" s="18"/>
      <c r="E384" s="18"/>
      <c r="F384" s="18"/>
    </row>
    <row r="385" spans="1:6" x14ac:dyDescent="0.25">
      <c r="A385" s="18"/>
      <c r="D385" s="18"/>
      <c r="E385" s="18"/>
      <c r="F385" s="18"/>
    </row>
    <row r="386" spans="1:6" x14ac:dyDescent="0.25">
      <c r="A386" s="48" t="s">
        <v>316</v>
      </c>
      <c r="D386" s="18" t="s">
        <v>64</v>
      </c>
      <c r="E386" s="39">
        <v>114594.823</v>
      </c>
      <c r="F386" s="39">
        <v>-4112.8379999999997</v>
      </c>
    </row>
    <row r="387" spans="1:6" x14ac:dyDescent="0.25">
      <c r="A387" s="45" t="s">
        <v>179</v>
      </c>
      <c r="B387" s="27">
        <f>E389-E386</f>
        <v>-3.3830000000016298</v>
      </c>
      <c r="C387" s="27">
        <f>F389-F386</f>
        <v>10.60399999999936</v>
      </c>
      <c r="D387" s="18" t="s">
        <v>63</v>
      </c>
      <c r="E387" s="18">
        <v>114591.44100000001</v>
      </c>
      <c r="F387" s="18">
        <v>-4102.24</v>
      </c>
    </row>
    <row r="388" spans="1:6" x14ac:dyDescent="0.25">
      <c r="A388" s="18">
        <v>11.13</v>
      </c>
      <c r="D388" s="18"/>
      <c r="E388" s="27">
        <f>E389-E387</f>
        <v>-1.0000000038417056E-3</v>
      </c>
      <c r="F388" s="27">
        <f>F389-F387</f>
        <v>5.9999999994033715E-3</v>
      </c>
    </row>
    <row r="389" spans="1:6" x14ac:dyDescent="0.25">
      <c r="A389" s="18"/>
      <c r="D389" s="30" t="s">
        <v>328</v>
      </c>
      <c r="E389" s="44">
        <v>114591.44</v>
      </c>
      <c r="F389" s="44">
        <v>-4102.2340000000004</v>
      </c>
    </row>
    <row r="390" spans="1:6" x14ac:dyDescent="0.25">
      <c r="A390" s="18"/>
      <c r="D390" s="18"/>
      <c r="E390" s="18"/>
      <c r="F390" s="18"/>
    </row>
    <row r="391" spans="1:6" x14ac:dyDescent="0.25">
      <c r="A391" s="48" t="s">
        <v>238</v>
      </c>
      <c r="D391" s="18" t="s">
        <v>63</v>
      </c>
      <c r="E391" s="39">
        <v>114591.44</v>
      </c>
      <c r="F391" s="39">
        <v>-4102.2340000000004</v>
      </c>
    </row>
    <row r="392" spans="1:6" x14ac:dyDescent="0.25">
      <c r="A392" s="45" t="s">
        <v>212</v>
      </c>
      <c r="B392" s="27">
        <f>E394-E391</f>
        <v>8.5999999999912689</v>
      </c>
      <c r="C392" s="27">
        <f>F394-F391</f>
        <v>2.6640000000006694</v>
      </c>
      <c r="D392" s="18" t="s">
        <v>62</v>
      </c>
      <c r="E392" s="18">
        <v>114600.04700000001</v>
      </c>
      <c r="F392" s="27">
        <v>-4099.5829999999996</v>
      </c>
    </row>
    <row r="393" spans="1:6" x14ac:dyDescent="0.25">
      <c r="A393" s="27">
        <v>9</v>
      </c>
      <c r="D393" s="18"/>
      <c r="E393" s="27">
        <f>E394-E392</f>
        <v>-7.0000000123400241E-3</v>
      </c>
      <c r="F393" s="27">
        <f>F394-F392</f>
        <v>1.2999999999919964E-2</v>
      </c>
    </row>
    <row r="394" spans="1:6" x14ac:dyDescent="0.25">
      <c r="A394" s="27"/>
      <c r="D394" s="30" t="s">
        <v>328</v>
      </c>
      <c r="E394" s="30">
        <v>114600.04</v>
      </c>
      <c r="F394" s="30">
        <v>-4099.57</v>
      </c>
    </row>
    <row r="395" spans="1:6" x14ac:dyDescent="0.25">
      <c r="A395" s="18"/>
      <c r="D395" s="18"/>
      <c r="E395" s="18"/>
      <c r="F395" s="18"/>
    </row>
    <row r="396" spans="1:6" x14ac:dyDescent="0.25">
      <c r="A396" s="48" t="s">
        <v>239</v>
      </c>
      <c r="D396" s="18" t="s">
        <v>62</v>
      </c>
      <c r="E396" s="18">
        <v>114600.04</v>
      </c>
      <c r="F396" s="18">
        <v>-4099.57</v>
      </c>
    </row>
    <row r="397" spans="1:6" x14ac:dyDescent="0.25">
      <c r="A397" s="45" t="s">
        <v>179</v>
      </c>
      <c r="B397" s="27">
        <f>E399-E396</f>
        <v>-1.0149999999994179</v>
      </c>
      <c r="C397" s="27">
        <f>F399-F396</f>
        <v>3.1859999999996944</v>
      </c>
      <c r="D397" s="18" t="s">
        <v>61</v>
      </c>
      <c r="E397" s="18">
        <v>114599.02099999999</v>
      </c>
      <c r="F397" s="27">
        <v>-4096.3710000000001</v>
      </c>
    </row>
    <row r="398" spans="1:6" x14ac:dyDescent="0.25">
      <c r="A398" s="35">
        <v>3.34</v>
      </c>
      <c r="D398" s="18"/>
      <c r="E398" s="27">
        <f>E399-E397</f>
        <v>4.0000000008149073E-3</v>
      </c>
      <c r="F398" s="27">
        <f>F399-F397</f>
        <v>-1.2999999999919964E-2</v>
      </c>
    </row>
    <row r="399" spans="1:6" x14ac:dyDescent="0.25">
      <c r="A399" s="35"/>
      <c r="D399" s="30" t="s">
        <v>328</v>
      </c>
      <c r="E399" s="44">
        <v>114599.02499999999</v>
      </c>
      <c r="F399" s="44">
        <v>-4096.384</v>
      </c>
    </row>
    <row r="400" spans="1:6" x14ac:dyDescent="0.25">
      <c r="A400" s="18"/>
      <c r="D400" s="18"/>
      <c r="E400" s="18"/>
      <c r="F400" s="18"/>
    </row>
    <row r="401" spans="1:6" x14ac:dyDescent="0.25">
      <c r="A401" s="48" t="s">
        <v>240</v>
      </c>
      <c r="D401" s="18" t="s">
        <v>61</v>
      </c>
      <c r="E401" s="39">
        <v>114599.02499999999</v>
      </c>
      <c r="F401" s="39">
        <v>-4096.384</v>
      </c>
    </row>
    <row r="402" spans="1:6" x14ac:dyDescent="0.25">
      <c r="A402" s="45" t="s">
        <v>179</v>
      </c>
      <c r="B402" s="27">
        <f>E404-E401</f>
        <v>-1.7279999999882421</v>
      </c>
      <c r="C402" s="27">
        <f>F404-F401</f>
        <v>5.4239999999999782</v>
      </c>
      <c r="D402" s="18" t="s">
        <v>203</v>
      </c>
      <c r="E402" s="18">
        <v>114597.308</v>
      </c>
      <c r="F402" s="27">
        <v>-4090.962</v>
      </c>
    </row>
    <row r="403" spans="1:6" x14ac:dyDescent="0.25">
      <c r="A403" s="35">
        <v>5.6929999999999996</v>
      </c>
      <c r="D403" s="18"/>
      <c r="E403" s="27">
        <f>E404-E402</f>
        <v>-1.0999999998603016E-2</v>
      </c>
      <c r="F403" s="27">
        <f>F404-F402</f>
        <v>1.9999999999527063E-3</v>
      </c>
    </row>
    <row r="404" spans="1:6" x14ac:dyDescent="0.25">
      <c r="A404" s="35"/>
      <c r="D404" s="30" t="s">
        <v>328</v>
      </c>
      <c r="E404" s="44">
        <v>114597.29700000001</v>
      </c>
      <c r="F404" s="44">
        <v>-4090.96</v>
      </c>
    </row>
    <row r="405" spans="1:6" x14ac:dyDescent="0.25">
      <c r="A405" s="18"/>
      <c r="D405" s="18"/>
      <c r="E405" s="18"/>
      <c r="F405" s="18"/>
    </row>
    <row r="406" spans="1:6" x14ac:dyDescent="0.25">
      <c r="A406" s="48" t="s">
        <v>241</v>
      </c>
      <c r="D406" s="18" t="s">
        <v>203</v>
      </c>
      <c r="E406" s="39">
        <v>114597.29700000001</v>
      </c>
      <c r="F406" s="39">
        <v>-4090.96</v>
      </c>
    </row>
    <row r="407" spans="1:6" x14ac:dyDescent="0.25">
      <c r="A407" s="45" t="s">
        <v>181</v>
      </c>
      <c r="B407" s="27">
        <f>E409-E406</f>
        <v>-4.2870000000111759</v>
      </c>
      <c r="C407" s="27">
        <f>F409-F406</f>
        <v>-1.3699999999998909</v>
      </c>
      <c r="D407" s="18" t="s">
        <v>60</v>
      </c>
      <c r="E407" s="27">
        <v>114593.004</v>
      </c>
      <c r="F407" s="27">
        <v>-4092.3240000000001</v>
      </c>
    </row>
    <row r="408" spans="1:6" x14ac:dyDescent="0.25">
      <c r="A408" s="35">
        <v>4.5</v>
      </c>
      <c r="D408" s="18"/>
      <c r="E408" s="27">
        <f>E409-E407</f>
        <v>5.9999999939464033E-3</v>
      </c>
      <c r="F408" s="27">
        <f>F409-F407</f>
        <v>-5.9999999998581188E-3</v>
      </c>
    </row>
    <row r="409" spans="1:6" x14ac:dyDescent="0.25">
      <c r="A409" s="35"/>
      <c r="D409" s="30" t="s">
        <v>328</v>
      </c>
      <c r="E409" s="30">
        <v>114593.01</v>
      </c>
      <c r="F409" s="30">
        <v>-4092.33</v>
      </c>
    </row>
    <row r="410" spans="1:6" x14ac:dyDescent="0.25">
      <c r="A410" s="18"/>
      <c r="D410" s="18"/>
      <c r="E410" s="18"/>
      <c r="F410" s="18"/>
    </row>
    <row r="411" spans="1:6" x14ac:dyDescent="0.25">
      <c r="A411" s="48" t="s">
        <v>242</v>
      </c>
      <c r="D411" s="18" t="s">
        <v>60</v>
      </c>
      <c r="E411" s="18">
        <v>114593.01</v>
      </c>
      <c r="F411" s="18">
        <v>-4092.33</v>
      </c>
    </row>
    <row r="412" spans="1:6" x14ac:dyDescent="0.25">
      <c r="A412" s="45" t="s">
        <v>179</v>
      </c>
      <c r="B412" s="27">
        <f>E414-E411</f>
        <v>-1.3669999999983702</v>
      </c>
      <c r="C412" s="27">
        <f>F414-F411</f>
        <v>4.2909999999997126</v>
      </c>
      <c r="D412" s="18" t="s">
        <v>200</v>
      </c>
      <c r="E412" s="18">
        <v>114591.629</v>
      </c>
      <c r="F412" s="27">
        <v>-4088.0450000000001</v>
      </c>
    </row>
    <row r="413" spans="1:6" x14ac:dyDescent="0.25">
      <c r="A413" s="35">
        <v>4.5</v>
      </c>
      <c r="D413" s="18"/>
      <c r="E413" s="27">
        <f>E414-E412</f>
        <v>1.3999999995576218E-2</v>
      </c>
      <c r="F413" s="27">
        <f>F414-F412</f>
        <v>5.9999999998581188E-3</v>
      </c>
    </row>
    <row r="414" spans="1:6" x14ac:dyDescent="0.25">
      <c r="A414" s="35"/>
      <c r="D414" s="30" t="s">
        <v>328</v>
      </c>
      <c r="E414" s="44">
        <v>114591.643</v>
      </c>
      <c r="F414" s="44">
        <v>-4088.0390000000002</v>
      </c>
    </row>
    <row r="415" spans="1:6" x14ac:dyDescent="0.25">
      <c r="A415" s="18"/>
      <c r="D415" s="18"/>
      <c r="E415" s="18"/>
      <c r="F415" s="18"/>
    </row>
    <row r="416" spans="1:6" x14ac:dyDescent="0.25">
      <c r="A416" s="48" t="s">
        <v>243</v>
      </c>
      <c r="D416" s="18" t="s">
        <v>200</v>
      </c>
      <c r="E416" s="39">
        <v>114591.643</v>
      </c>
      <c r="F416" s="39">
        <v>-4088.0390000000002</v>
      </c>
    </row>
    <row r="417" spans="1:6" x14ac:dyDescent="0.25">
      <c r="A417" s="45" t="s">
        <v>179</v>
      </c>
      <c r="B417" s="27">
        <f>E419-E416</f>
        <v>-1.9749999999912689</v>
      </c>
      <c r="C417" s="27">
        <f>F419-F416</f>
        <v>6.1970000000001164</v>
      </c>
      <c r="D417" s="18" t="s">
        <v>57</v>
      </c>
      <c r="E417" s="18">
        <v>114589.682</v>
      </c>
      <c r="F417" s="27">
        <v>-4081.8409999999999</v>
      </c>
    </row>
    <row r="418" spans="1:6" x14ac:dyDescent="0.25">
      <c r="A418" s="35">
        <v>6.5039999999999996</v>
      </c>
      <c r="D418" s="18"/>
      <c r="E418" s="27">
        <f>E419-E417</f>
        <v>-1.3999999995576218E-2</v>
      </c>
      <c r="F418" s="27">
        <f>F419-F417</f>
        <v>-1.0000000002037268E-3</v>
      </c>
    </row>
    <row r="419" spans="1:6" x14ac:dyDescent="0.25">
      <c r="A419" s="35"/>
      <c r="D419" s="30" t="s">
        <v>328</v>
      </c>
      <c r="E419" s="44">
        <v>114589.66800000001</v>
      </c>
      <c r="F419" s="44">
        <v>-4081.8420000000001</v>
      </c>
    </row>
    <row r="420" spans="1:6" x14ac:dyDescent="0.25">
      <c r="A420" s="18"/>
      <c r="D420" s="18"/>
      <c r="E420" s="18"/>
      <c r="F420" s="18"/>
    </row>
    <row r="421" spans="1:6" x14ac:dyDescent="0.25">
      <c r="A421" s="48" t="s">
        <v>244</v>
      </c>
      <c r="D421" s="18" t="s">
        <v>57</v>
      </c>
      <c r="E421" s="39">
        <v>114589.66800000001</v>
      </c>
      <c r="F421" s="39">
        <v>-4081.8420000000001</v>
      </c>
    </row>
    <row r="422" spans="1:6" x14ac:dyDescent="0.25">
      <c r="A422" s="45" t="s">
        <v>179</v>
      </c>
      <c r="B422" s="27">
        <f>E424-E421</f>
        <v>-4.7250000000058208</v>
      </c>
      <c r="C422" s="27">
        <f>F424-F421</f>
        <v>14.826000000000022</v>
      </c>
      <c r="D422" s="18" t="s">
        <v>56</v>
      </c>
      <c r="E422" s="18">
        <v>114584.94</v>
      </c>
      <c r="F422" s="27">
        <v>-4067.0250000000001</v>
      </c>
    </row>
    <row r="423" spans="1:6" x14ac:dyDescent="0.25">
      <c r="A423" s="35">
        <v>15.56</v>
      </c>
      <c r="D423" s="18"/>
      <c r="E423" s="27">
        <f>E424-E422</f>
        <v>2.9999999969732016E-3</v>
      </c>
      <c r="F423" s="27">
        <f>F424-F422</f>
        <v>9.0000000000145519E-3</v>
      </c>
    </row>
    <row r="424" spans="1:6" x14ac:dyDescent="0.25">
      <c r="A424" s="35"/>
      <c r="D424" s="30" t="s">
        <v>328</v>
      </c>
      <c r="E424" s="44">
        <v>114584.943</v>
      </c>
      <c r="F424" s="44">
        <v>-4067.0160000000001</v>
      </c>
    </row>
    <row r="425" spans="1:6" x14ac:dyDescent="0.25">
      <c r="A425" s="18"/>
      <c r="D425" s="18"/>
      <c r="E425" s="18"/>
      <c r="F425" s="18"/>
    </row>
    <row r="426" spans="1:6" x14ac:dyDescent="0.25">
      <c r="A426" s="48" t="s">
        <v>245</v>
      </c>
      <c r="D426" s="18" t="s">
        <v>56</v>
      </c>
      <c r="E426" s="39">
        <v>114584.943</v>
      </c>
      <c r="F426" s="39">
        <v>-4067.0160000000001</v>
      </c>
    </row>
    <row r="427" spans="1:6" x14ac:dyDescent="0.25">
      <c r="A427" s="45" t="s">
        <v>179</v>
      </c>
      <c r="B427" s="27">
        <f>E429-E426</f>
        <v>-4.7250000000058208</v>
      </c>
      <c r="C427" s="27">
        <f>F429-F426</f>
        <v>14.826000000000022</v>
      </c>
      <c r="D427" s="18" t="s">
        <v>55</v>
      </c>
      <c r="E427" s="18">
        <v>114580.21400000001</v>
      </c>
      <c r="F427" s="27">
        <v>-4052.1860000000001</v>
      </c>
    </row>
    <row r="428" spans="1:6" x14ac:dyDescent="0.25">
      <c r="A428" s="35">
        <v>15.56</v>
      </c>
      <c r="D428" s="18"/>
      <c r="E428" s="27">
        <f>E429-E427</f>
        <v>3.999999986262992E-3</v>
      </c>
      <c r="F428" s="27">
        <f>F429-F427</f>
        <v>-3.9999999999054126E-3</v>
      </c>
    </row>
    <row r="429" spans="1:6" x14ac:dyDescent="0.25">
      <c r="A429" s="35"/>
      <c r="D429" s="30" t="s">
        <v>328</v>
      </c>
      <c r="E429" s="44">
        <v>114580.21799999999</v>
      </c>
      <c r="F429" s="44">
        <v>-4052.19</v>
      </c>
    </row>
    <row r="430" spans="1:6" x14ac:dyDescent="0.25">
      <c r="A430" s="18"/>
      <c r="D430" s="18"/>
      <c r="E430" s="18"/>
      <c r="F430" s="18"/>
    </row>
    <row r="431" spans="1:6" x14ac:dyDescent="0.25">
      <c r="A431" s="48" t="s">
        <v>246</v>
      </c>
      <c r="D431" s="18" t="s">
        <v>55</v>
      </c>
      <c r="E431" s="39">
        <v>114580.21799999999</v>
      </c>
      <c r="F431" s="39">
        <v>-4052.19</v>
      </c>
    </row>
    <row r="432" spans="1:6" x14ac:dyDescent="0.25">
      <c r="A432" s="45" t="s">
        <v>179</v>
      </c>
      <c r="B432" s="27">
        <f>E434-E431</f>
        <v>-3.4539999999979045</v>
      </c>
      <c r="C432" s="27">
        <f>F434-F431</f>
        <v>10.838999999999942</v>
      </c>
      <c r="D432" s="18" t="s">
        <v>200</v>
      </c>
      <c r="E432" s="18">
        <v>114576.77</v>
      </c>
      <c r="F432" s="27">
        <v>-4041.3310000000001</v>
      </c>
    </row>
    <row r="433" spans="1:6" x14ac:dyDescent="0.25">
      <c r="A433" s="35">
        <v>11.377000000000001</v>
      </c>
      <c r="D433" s="18"/>
      <c r="E433" s="27">
        <f>E434-E432</f>
        <v>-6.0000000084983185E-3</v>
      </c>
      <c r="F433" s="27">
        <f>F434-F432</f>
        <v>-1.999999999998181E-2</v>
      </c>
    </row>
    <row r="434" spans="1:6" x14ac:dyDescent="0.25">
      <c r="A434" s="35"/>
      <c r="D434" s="30" t="s">
        <v>328</v>
      </c>
      <c r="E434" s="44">
        <v>114576.764</v>
      </c>
      <c r="F434" s="44">
        <v>-4041.3510000000001</v>
      </c>
    </row>
    <row r="435" spans="1:6" x14ac:dyDescent="0.25">
      <c r="A435" s="18"/>
      <c r="D435" s="18"/>
      <c r="E435" s="18"/>
      <c r="F435" s="18"/>
    </row>
    <row r="436" spans="1:6" x14ac:dyDescent="0.25">
      <c r="A436" s="48" t="s">
        <v>247</v>
      </c>
      <c r="D436" s="18" t="s">
        <v>200</v>
      </c>
      <c r="E436" s="39">
        <v>114576.764</v>
      </c>
      <c r="F436" s="39">
        <v>-4041.3510000000001</v>
      </c>
    </row>
    <row r="437" spans="1:6" x14ac:dyDescent="0.25">
      <c r="A437" s="45" t="s">
        <v>179</v>
      </c>
      <c r="B437" s="27">
        <f>E439-E436</f>
        <v>-1.3659999999945285</v>
      </c>
      <c r="C437" s="27">
        <f>F439-F436</f>
        <v>4.2880000000000109</v>
      </c>
      <c r="D437" s="18" t="s">
        <v>54</v>
      </c>
      <c r="E437" s="18">
        <v>114575.394</v>
      </c>
      <c r="F437" s="27">
        <v>-4037.0549999999998</v>
      </c>
    </row>
    <row r="438" spans="1:6" x14ac:dyDescent="0.25">
      <c r="A438" s="35">
        <v>4.5</v>
      </c>
      <c r="D438" s="18"/>
      <c r="E438" s="27">
        <f>E439-E437</f>
        <v>4.0000000008149073E-3</v>
      </c>
      <c r="F438" s="27">
        <f>F439-F437</f>
        <v>-8.0000000002655725E-3</v>
      </c>
    </row>
    <row r="439" spans="1:6" x14ac:dyDescent="0.25">
      <c r="A439" s="35"/>
      <c r="D439" s="30" t="s">
        <v>328</v>
      </c>
      <c r="E439" s="44">
        <v>114575.398</v>
      </c>
      <c r="F439" s="44">
        <v>-4037.0630000000001</v>
      </c>
    </row>
    <row r="440" spans="1:6" x14ac:dyDescent="0.25">
      <c r="A440" s="18"/>
      <c r="D440" s="18"/>
      <c r="E440" s="18"/>
      <c r="F440" s="18"/>
    </row>
    <row r="441" spans="1:6" x14ac:dyDescent="0.25">
      <c r="A441" s="48" t="s">
        <v>248</v>
      </c>
      <c r="D441" s="18" t="s">
        <v>54</v>
      </c>
      <c r="E441" s="39">
        <v>114575.398</v>
      </c>
      <c r="F441" s="39">
        <v>-4037.0630000000001</v>
      </c>
    </row>
    <row r="442" spans="1:6" x14ac:dyDescent="0.25">
      <c r="A442" s="45" t="s">
        <v>212</v>
      </c>
      <c r="B442" s="27">
        <f>E444-E441</f>
        <v>4.297999999995227</v>
      </c>
      <c r="C442" s="27">
        <f>F444-F441</f>
        <v>1.331000000000131</v>
      </c>
      <c r="D442" s="18" t="s">
        <v>203</v>
      </c>
      <c r="E442" s="27">
        <v>114579.701</v>
      </c>
      <c r="F442" s="27">
        <v>-4035.7260000000001</v>
      </c>
    </row>
    <row r="443" spans="1:6" x14ac:dyDescent="0.25">
      <c r="A443" s="35">
        <v>4.5</v>
      </c>
      <c r="D443" s="18"/>
      <c r="E443" s="27">
        <f>E444-E442</f>
        <v>-5.0000000046566129E-3</v>
      </c>
      <c r="F443" s="27">
        <f>F444-F442</f>
        <v>-5.9999999998581188E-3</v>
      </c>
    </row>
    <row r="444" spans="1:6" x14ac:dyDescent="0.25">
      <c r="A444" s="35"/>
      <c r="D444" s="30" t="s">
        <v>328</v>
      </c>
      <c r="E444" s="44">
        <v>114579.696</v>
      </c>
      <c r="F444" s="44">
        <v>-4035.732</v>
      </c>
    </row>
    <row r="445" spans="1:6" x14ac:dyDescent="0.25">
      <c r="A445" s="18"/>
      <c r="D445" s="18"/>
      <c r="E445" s="18"/>
      <c r="F445" s="18"/>
    </row>
    <row r="446" spans="1:6" x14ac:dyDescent="0.25">
      <c r="A446" s="48" t="s">
        <v>249</v>
      </c>
      <c r="D446" s="18" t="s">
        <v>203</v>
      </c>
      <c r="E446" s="39">
        <v>114579.696</v>
      </c>
      <c r="F446" s="39">
        <v>-4035.732</v>
      </c>
    </row>
    <row r="447" spans="1:6" x14ac:dyDescent="0.25">
      <c r="A447" s="45" t="s">
        <v>212</v>
      </c>
      <c r="B447" s="27">
        <f>E449-E446</f>
        <v>26.756999999997788</v>
      </c>
      <c r="C447" s="27">
        <f>F449-F446</f>
        <v>8.2880000000000109</v>
      </c>
      <c r="D447" s="18" t="s">
        <v>70</v>
      </c>
      <c r="E447" s="18">
        <v>114606.465</v>
      </c>
      <c r="F447" s="18">
        <v>-4027.43</v>
      </c>
    </row>
    <row r="448" spans="1:6" x14ac:dyDescent="0.25">
      <c r="A448" s="35">
        <v>28.01</v>
      </c>
      <c r="D448" s="18"/>
      <c r="E448" s="27">
        <f>E449-E447</f>
        <v>-1.2000000002444722E-2</v>
      </c>
      <c r="F448" s="27">
        <f>F449-F447</f>
        <v>-1.4000000000123691E-2</v>
      </c>
    </row>
    <row r="449" spans="1:6" x14ac:dyDescent="0.25">
      <c r="A449" s="35"/>
      <c r="D449" s="30" t="s">
        <v>328</v>
      </c>
      <c r="E449" s="44">
        <v>114606.45299999999</v>
      </c>
      <c r="F449" s="44">
        <v>-4027.444</v>
      </c>
    </row>
    <row r="450" spans="1:6" x14ac:dyDescent="0.25">
      <c r="A450" s="18"/>
      <c r="D450" s="18"/>
      <c r="E450" s="18"/>
      <c r="F450" s="18"/>
    </row>
    <row r="451" spans="1:6" x14ac:dyDescent="0.25">
      <c r="A451" s="48" t="s">
        <v>250</v>
      </c>
      <c r="D451" s="18" t="s">
        <v>70</v>
      </c>
      <c r="E451" s="39">
        <v>114606.45299999999</v>
      </c>
      <c r="F451" s="39">
        <v>-4027.444</v>
      </c>
    </row>
    <row r="452" spans="1:6" x14ac:dyDescent="0.25">
      <c r="A452" s="45" t="s">
        <v>182</v>
      </c>
      <c r="B452" s="27">
        <f>E454-E451</f>
        <v>4.8210000000108266</v>
      </c>
      <c r="C452" s="27">
        <f>F454-F451</f>
        <v>-15.126999999999953</v>
      </c>
      <c r="D452" s="18" t="s">
        <v>69</v>
      </c>
      <c r="E452" s="18">
        <v>114611.268</v>
      </c>
      <c r="F452" s="27">
        <v>-4042.5590000000002</v>
      </c>
    </row>
    <row r="453" spans="1:6" x14ac:dyDescent="0.25">
      <c r="A453" s="35">
        <v>15.88</v>
      </c>
      <c r="D453" s="18"/>
      <c r="E453" s="27">
        <f>E454-E452</f>
        <v>6.0000000084983185E-3</v>
      </c>
      <c r="F453" s="27">
        <f>F454-F452</f>
        <v>-1.1999999999716238E-2</v>
      </c>
    </row>
    <row r="454" spans="1:6" x14ac:dyDescent="0.25">
      <c r="A454" s="35"/>
      <c r="D454" s="30" t="s">
        <v>328</v>
      </c>
      <c r="E454" s="44">
        <v>114611.274</v>
      </c>
      <c r="F454" s="44">
        <v>-4042.5709999999999</v>
      </c>
    </row>
    <row r="455" spans="1:6" x14ac:dyDescent="0.25">
      <c r="A455" s="18"/>
      <c r="D455" s="18"/>
      <c r="E455" s="18"/>
      <c r="F455" s="18"/>
    </row>
    <row r="456" spans="1:6" x14ac:dyDescent="0.25">
      <c r="A456" s="48" t="s">
        <v>251</v>
      </c>
      <c r="D456" s="18" t="s">
        <v>69</v>
      </c>
      <c r="E456" s="39">
        <v>114611.274</v>
      </c>
      <c r="F456" s="39">
        <v>-4042.5709999999999</v>
      </c>
    </row>
    <row r="457" spans="1:6" x14ac:dyDescent="0.25">
      <c r="A457" s="45" t="s">
        <v>182</v>
      </c>
      <c r="B457" s="27">
        <f>E459-E456</f>
        <v>4.7249999999912689</v>
      </c>
      <c r="C457" s="27">
        <f>F459-F456</f>
        <v>-14.826000000000022</v>
      </c>
      <c r="D457" s="18" t="s">
        <v>68</v>
      </c>
      <c r="E457" s="18">
        <v>114616.00199999999</v>
      </c>
      <c r="F457" s="18">
        <v>-4057.3870000000002</v>
      </c>
    </row>
    <row r="458" spans="1:6" x14ac:dyDescent="0.25">
      <c r="A458" s="35">
        <v>15.56</v>
      </c>
      <c r="D458" s="18"/>
      <c r="E458" s="27">
        <f>E459-E457</f>
        <v>-2.9999999969732016E-3</v>
      </c>
      <c r="F458" s="27">
        <f>F459-F457</f>
        <v>-9.9999999997635314E-3</v>
      </c>
    </row>
    <row r="459" spans="1:6" x14ac:dyDescent="0.25">
      <c r="A459" s="35"/>
      <c r="D459" s="30" t="s">
        <v>328</v>
      </c>
      <c r="E459" s="44">
        <v>114615.999</v>
      </c>
      <c r="F459" s="44">
        <v>-4057.3969999999999</v>
      </c>
    </row>
    <row r="460" spans="1:6" x14ac:dyDescent="0.25">
      <c r="A460" s="18"/>
      <c r="D460" s="18"/>
      <c r="E460" s="18"/>
      <c r="F460" s="18"/>
    </row>
    <row r="461" spans="1:6" x14ac:dyDescent="0.25">
      <c r="A461" s="48" t="s">
        <v>252</v>
      </c>
      <c r="D461" s="18" t="s">
        <v>68</v>
      </c>
      <c r="E461" s="39">
        <v>114615.999</v>
      </c>
      <c r="F461" s="39">
        <v>-4057.3969999999999</v>
      </c>
    </row>
    <row r="462" spans="1:6" x14ac:dyDescent="0.25">
      <c r="A462" s="45" t="s">
        <v>182</v>
      </c>
      <c r="B462" s="27">
        <f>E464-E461</f>
        <v>4.7240000000019791</v>
      </c>
      <c r="C462" s="27">
        <f>F464-F461</f>
        <v>-14.825000000000273</v>
      </c>
      <c r="D462" s="18" t="s">
        <v>67</v>
      </c>
      <c r="E462" s="18">
        <v>114620.713</v>
      </c>
      <c r="F462" s="27">
        <v>-4072.2420000000002</v>
      </c>
    </row>
    <row r="463" spans="1:6" x14ac:dyDescent="0.25">
      <c r="A463" s="35">
        <v>15.56</v>
      </c>
      <c r="D463" s="18"/>
      <c r="E463" s="27">
        <f>E464-E462</f>
        <v>9.9999999947613105E-3</v>
      </c>
      <c r="F463" s="27">
        <f>F464-F462</f>
        <v>1.999999999998181E-2</v>
      </c>
    </row>
    <row r="464" spans="1:6" x14ac:dyDescent="0.25">
      <c r="A464" s="35"/>
      <c r="D464" s="30" t="s">
        <v>328</v>
      </c>
      <c r="E464" s="44">
        <v>114620.723</v>
      </c>
      <c r="F464" s="44">
        <v>-4072.2220000000002</v>
      </c>
    </row>
    <row r="465" spans="1:6" x14ac:dyDescent="0.25">
      <c r="A465" s="18"/>
      <c r="D465" s="18"/>
      <c r="E465" s="18"/>
      <c r="F465" s="18"/>
    </row>
    <row r="466" spans="1:6" x14ac:dyDescent="0.25">
      <c r="A466" s="48" t="s">
        <v>253</v>
      </c>
      <c r="D466" s="18" t="s">
        <v>67</v>
      </c>
      <c r="E466" s="39">
        <v>114620.723</v>
      </c>
      <c r="F466" s="39">
        <v>-4072.2220000000002</v>
      </c>
    </row>
    <row r="467" spans="1:6" x14ac:dyDescent="0.25">
      <c r="A467" s="45" t="s">
        <v>182</v>
      </c>
      <c r="B467" s="27">
        <f>E469-E466</f>
        <v>5.0590000000083819</v>
      </c>
      <c r="C467" s="27">
        <f>F469-F466</f>
        <v>-15.873999999999796</v>
      </c>
      <c r="D467" s="18" t="s">
        <v>66</v>
      </c>
      <c r="E467" s="18">
        <v>114625.768</v>
      </c>
      <c r="F467" s="27">
        <v>-4088.0839999999998</v>
      </c>
    </row>
    <row r="468" spans="1:6" x14ac:dyDescent="0.25">
      <c r="A468" s="35">
        <v>16.66</v>
      </c>
      <c r="D468" s="18"/>
      <c r="E468" s="27">
        <f>E469-E467</f>
        <v>1.4000000010128133E-2</v>
      </c>
      <c r="F468" s="27">
        <f>F469-F467</f>
        <v>-1.2000000000170985E-2</v>
      </c>
    </row>
    <row r="469" spans="1:6" x14ac:dyDescent="0.25">
      <c r="A469" s="35"/>
      <c r="D469" s="30" t="s">
        <v>328</v>
      </c>
      <c r="E469" s="44">
        <v>114625.78200000001</v>
      </c>
      <c r="F469" s="44">
        <v>-4088.096</v>
      </c>
    </row>
    <row r="470" spans="1:6" x14ac:dyDescent="0.25">
      <c r="A470" s="18"/>
      <c r="D470" s="18"/>
      <c r="E470" s="18"/>
      <c r="F470" s="18"/>
    </row>
    <row r="471" spans="1:6" x14ac:dyDescent="0.25">
      <c r="A471" s="48" t="s">
        <v>319</v>
      </c>
      <c r="D471" s="18" t="s">
        <v>66</v>
      </c>
      <c r="E471" s="39">
        <v>114625.78200000001</v>
      </c>
      <c r="F471" s="39">
        <v>-4088.096</v>
      </c>
    </row>
    <row r="472" spans="1:6" x14ac:dyDescent="0.25">
      <c r="A472" s="45" t="s">
        <v>182</v>
      </c>
      <c r="B472" s="27">
        <f>E474-E471</f>
        <v>4.3949999999895226</v>
      </c>
      <c r="C472" s="27">
        <f>F474-F471</f>
        <v>-13.790999999999713</v>
      </c>
      <c r="D472" s="18" t="s">
        <v>65</v>
      </c>
      <c r="E472" s="18">
        <v>114630.17200000001</v>
      </c>
      <c r="F472" s="27">
        <v>-4101.9070000000002</v>
      </c>
    </row>
    <row r="473" spans="1:6" x14ac:dyDescent="0.25">
      <c r="A473" s="18">
        <v>14.47</v>
      </c>
      <c r="D473" s="18"/>
      <c r="E473" s="27">
        <f>E474-E472</f>
        <v>4.9999999901046976E-3</v>
      </c>
      <c r="F473" s="27">
        <f>F474-F472</f>
        <v>2.0000000000436557E-2</v>
      </c>
    </row>
    <row r="474" spans="1:6" x14ac:dyDescent="0.25">
      <c r="A474" s="18"/>
      <c r="D474" s="30" t="s">
        <v>328</v>
      </c>
      <c r="E474" s="44">
        <v>114630.177</v>
      </c>
      <c r="F474" s="44">
        <v>-4101.8869999999997</v>
      </c>
    </row>
    <row r="475" spans="1:6" x14ac:dyDescent="0.25">
      <c r="A475" s="18"/>
      <c r="D475" s="18"/>
      <c r="E475" s="18"/>
      <c r="F475" s="18"/>
    </row>
    <row r="476" spans="1:6" x14ac:dyDescent="0.25">
      <c r="A476" s="48" t="s">
        <v>205</v>
      </c>
      <c r="D476" s="18" t="s">
        <v>65</v>
      </c>
      <c r="E476" s="39">
        <v>114630.177</v>
      </c>
      <c r="F476" s="39">
        <v>-4101.8869999999997</v>
      </c>
    </row>
    <row r="477" spans="1:6" x14ac:dyDescent="0.25">
      <c r="A477" s="45" t="s">
        <v>181</v>
      </c>
      <c r="B477" s="27">
        <f>E479-E476</f>
        <v>-35.353999999992084</v>
      </c>
      <c r="C477" s="27">
        <f>F479-F476</f>
        <v>-10.951000000000022</v>
      </c>
      <c r="D477" s="18" t="s">
        <v>64</v>
      </c>
      <c r="E477" s="18">
        <v>114594.848</v>
      </c>
      <c r="F477" s="18">
        <v>-4112.835</v>
      </c>
    </row>
    <row r="478" spans="1:6" x14ac:dyDescent="0.25">
      <c r="A478" s="39">
        <v>37.01</v>
      </c>
      <c r="D478" s="18"/>
      <c r="E478" s="27">
        <f>E479-E477</f>
        <v>-2.4999999994179234E-2</v>
      </c>
      <c r="F478" s="27">
        <f>F479-F477</f>
        <v>-2.9999999997016857E-3</v>
      </c>
    </row>
    <row r="479" spans="1:6" x14ac:dyDescent="0.25">
      <c r="A479" s="18"/>
      <c r="D479" s="30" t="s">
        <v>328</v>
      </c>
      <c r="E479" s="44">
        <v>114594.823</v>
      </c>
      <c r="F479" s="44">
        <v>-4112.8379999999997</v>
      </c>
    </row>
    <row r="480" spans="1:6" x14ac:dyDescent="0.25">
      <c r="A480" s="18"/>
      <c r="D480" s="18"/>
      <c r="E480" s="18"/>
      <c r="F480" s="18"/>
    </row>
    <row r="481" spans="1:6" x14ac:dyDescent="0.25">
      <c r="A481" s="18"/>
      <c r="D481" s="18"/>
      <c r="E481" s="18"/>
      <c r="F481" s="18"/>
    </row>
    <row r="482" spans="1:6" x14ac:dyDescent="0.25">
      <c r="A482" s="18"/>
      <c r="D482" s="18"/>
      <c r="E482" s="18"/>
      <c r="F482" s="18"/>
    </row>
    <row r="483" spans="1:6" x14ac:dyDescent="0.25">
      <c r="A483" s="48" t="s">
        <v>316</v>
      </c>
      <c r="D483" s="18" t="s">
        <v>64</v>
      </c>
      <c r="E483" s="39">
        <v>114594.823</v>
      </c>
      <c r="F483" s="39">
        <v>-4112.8379999999997</v>
      </c>
    </row>
    <row r="484" spans="1:6" x14ac:dyDescent="0.25">
      <c r="A484" s="45" t="s">
        <v>179</v>
      </c>
      <c r="B484" s="27">
        <f>E486-E483</f>
        <v>-3.3830000000016298</v>
      </c>
      <c r="C484" s="27">
        <f>F486-F483</f>
        <v>10.60399999999936</v>
      </c>
      <c r="D484" s="18" t="s">
        <v>63</v>
      </c>
      <c r="E484" s="18">
        <v>114591.44100000001</v>
      </c>
      <c r="F484" s="18">
        <v>-4102.24</v>
      </c>
    </row>
    <row r="485" spans="1:6" x14ac:dyDescent="0.25">
      <c r="A485" s="18">
        <v>11.13</v>
      </c>
      <c r="D485" s="18"/>
      <c r="E485" s="27">
        <f>E486-E484</f>
        <v>-1.0000000038417056E-3</v>
      </c>
      <c r="F485" s="27">
        <f>F486-F484</f>
        <v>5.9999999994033715E-3</v>
      </c>
    </row>
    <row r="486" spans="1:6" x14ac:dyDescent="0.25">
      <c r="A486" s="18"/>
      <c r="D486" s="30" t="s">
        <v>328</v>
      </c>
      <c r="E486" s="44">
        <v>114591.44</v>
      </c>
      <c r="F486" s="44">
        <v>-4102.2340000000004</v>
      </c>
    </row>
    <row r="487" spans="1:6" x14ac:dyDescent="0.25">
      <c r="A487" s="18"/>
      <c r="D487" s="18"/>
      <c r="E487" s="18"/>
      <c r="F487" s="18"/>
    </row>
    <row r="488" spans="1:6" x14ac:dyDescent="0.25">
      <c r="A488" s="48" t="s">
        <v>238</v>
      </c>
      <c r="D488" s="18" t="s">
        <v>63</v>
      </c>
      <c r="E488" s="39">
        <v>114591.44</v>
      </c>
      <c r="F488" s="39">
        <v>-4102.2340000000004</v>
      </c>
    </row>
    <row r="489" spans="1:6" x14ac:dyDescent="0.25">
      <c r="A489" s="45" t="s">
        <v>212</v>
      </c>
      <c r="B489" s="27">
        <f>E491-E488</f>
        <v>8.5999999999912689</v>
      </c>
      <c r="C489" s="27">
        <f>F491-F488</f>
        <v>2.6640000000006694</v>
      </c>
      <c r="D489" s="18" t="s">
        <v>62</v>
      </c>
      <c r="E489" s="18">
        <v>114600.04700000001</v>
      </c>
      <c r="F489" s="27">
        <v>-4099.5829999999996</v>
      </c>
    </row>
    <row r="490" spans="1:6" x14ac:dyDescent="0.25">
      <c r="A490" s="35">
        <v>9</v>
      </c>
      <c r="D490" s="18"/>
      <c r="E490" s="27">
        <f>E491-E489</f>
        <v>-7.0000000123400241E-3</v>
      </c>
      <c r="F490" s="27">
        <f>F491-F489</f>
        <v>1.2999999999919964E-2</v>
      </c>
    </row>
    <row r="491" spans="1:6" x14ac:dyDescent="0.25">
      <c r="A491" s="35"/>
      <c r="D491" s="30" t="s">
        <v>328</v>
      </c>
      <c r="E491" s="30">
        <v>114600.04</v>
      </c>
      <c r="F491" s="30">
        <v>-4099.57</v>
      </c>
    </row>
    <row r="492" spans="1:6" x14ac:dyDescent="0.25">
      <c r="A492" s="18"/>
      <c r="D492" s="18"/>
      <c r="E492" s="18"/>
      <c r="F492" s="18"/>
    </row>
    <row r="493" spans="1:6" x14ac:dyDescent="0.25">
      <c r="A493" s="48" t="s">
        <v>239</v>
      </c>
      <c r="D493" s="18" t="s">
        <v>62</v>
      </c>
      <c r="E493" s="18">
        <v>114600.04</v>
      </c>
      <c r="F493" s="18">
        <v>-4099.57</v>
      </c>
    </row>
    <row r="494" spans="1:6" x14ac:dyDescent="0.25">
      <c r="A494" s="45" t="s">
        <v>179</v>
      </c>
      <c r="B494" s="27">
        <f>E496-E493</f>
        <v>-1.0149999999994179</v>
      </c>
      <c r="C494" s="27">
        <f>F496-F493</f>
        <v>3.1859999999996944</v>
      </c>
      <c r="D494" s="18" t="s">
        <v>61</v>
      </c>
      <c r="E494" s="18">
        <v>114599.02099999999</v>
      </c>
      <c r="F494" s="27">
        <v>-4096.3710000000001</v>
      </c>
    </row>
    <row r="495" spans="1:6" x14ac:dyDescent="0.25">
      <c r="A495" s="35">
        <v>3.34</v>
      </c>
      <c r="D495" s="18"/>
      <c r="E495" s="27">
        <f>E496-E494</f>
        <v>4.0000000008149073E-3</v>
      </c>
      <c r="F495" s="27">
        <f>F496-F494</f>
        <v>-1.2999999999919964E-2</v>
      </c>
    </row>
    <row r="496" spans="1:6" x14ac:dyDescent="0.25">
      <c r="A496" s="35"/>
      <c r="D496" s="30" t="s">
        <v>328</v>
      </c>
      <c r="E496" s="44">
        <v>114599.02499999999</v>
      </c>
      <c r="F496" s="44">
        <v>-4096.384</v>
      </c>
    </row>
    <row r="497" spans="1:6" x14ac:dyDescent="0.25">
      <c r="A497" s="18"/>
      <c r="D497" s="18"/>
      <c r="E497" s="18"/>
      <c r="F497" s="18"/>
    </row>
    <row r="498" spans="1:6" x14ac:dyDescent="0.25">
      <c r="A498" s="48" t="s">
        <v>240</v>
      </c>
      <c r="D498" s="18" t="s">
        <v>61</v>
      </c>
      <c r="E498" s="39">
        <v>114599.02499999999</v>
      </c>
      <c r="F498" s="39">
        <v>-4096.384</v>
      </c>
    </row>
    <row r="499" spans="1:6" x14ac:dyDescent="0.25">
      <c r="A499" s="45" t="s">
        <v>179</v>
      </c>
      <c r="B499" s="27">
        <f>E501-E498</f>
        <v>-1.7279999999882421</v>
      </c>
      <c r="C499" s="27">
        <f>F501-F498</f>
        <v>5.4239999999999782</v>
      </c>
      <c r="D499" s="18" t="s">
        <v>203</v>
      </c>
      <c r="E499" s="18">
        <v>114597.308</v>
      </c>
      <c r="F499" s="27">
        <v>-4090.962</v>
      </c>
    </row>
    <row r="500" spans="1:6" x14ac:dyDescent="0.25">
      <c r="A500" s="39">
        <v>5.6929999999999996</v>
      </c>
      <c r="D500" s="18"/>
      <c r="E500" s="27">
        <f>E501-E499</f>
        <v>-1.0999999998603016E-2</v>
      </c>
      <c r="F500" s="27">
        <f>F501-F499</f>
        <v>1.9999999999527063E-3</v>
      </c>
    </row>
    <row r="501" spans="1:6" x14ac:dyDescent="0.25">
      <c r="A501" s="39"/>
      <c r="D501" s="30" t="s">
        <v>328</v>
      </c>
      <c r="E501" s="44">
        <v>114597.29700000001</v>
      </c>
      <c r="F501" s="44">
        <v>-4090.96</v>
      </c>
    </row>
    <row r="502" spans="1:6" x14ac:dyDescent="0.25">
      <c r="A502" s="18"/>
      <c r="D502" s="18"/>
      <c r="E502" s="18"/>
      <c r="F502" s="18"/>
    </row>
    <row r="503" spans="1:6" x14ac:dyDescent="0.25">
      <c r="A503" s="48" t="s">
        <v>241</v>
      </c>
      <c r="D503" s="18" t="s">
        <v>203</v>
      </c>
      <c r="E503" s="39">
        <v>114597.29700000001</v>
      </c>
      <c r="F503" s="39">
        <v>-4090.96</v>
      </c>
    </row>
    <row r="504" spans="1:6" x14ac:dyDescent="0.25">
      <c r="A504" s="45" t="s">
        <v>181</v>
      </c>
      <c r="B504" s="27">
        <f>E506-E503</f>
        <v>-4.2970000000059372</v>
      </c>
      <c r="C504" s="27">
        <f>F506-F503</f>
        <v>-1.3499999999999091</v>
      </c>
      <c r="D504" s="18" t="s">
        <v>60</v>
      </c>
      <c r="E504" s="27">
        <v>114593.004</v>
      </c>
      <c r="F504" s="27">
        <v>-4092.3240000000001</v>
      </c>
    </row>
    <row r="505" spans="1:6" x14ac:dyDescent="0.25">
      <c r="A505" s="35">
        <v>4.5</v>
      </c>
      <c r="D505" s="18"/>
      <c r="E505" s="27">
        <f>E506-E504</f>
        <v>-4.0000000008149073E-3</v>
      </c>
      <c r="F505" s="27">
        <f>F506-F504</f>
        <v>1.4000000000123691E-2</v>
      </c>
    </row>
    <row r="506" spans="1:6" x14ac:dyDescent="0.25">
      <c r="A506" s="35"/>
      <c r="D506" s="30" t="s">
        <v>328</v>
      </c>
      <c r="E506" s="30">
        <v>114593</v>
      </c>
      <c r="F506" s="30">
        <v>-4092.31</v>
      </c>
    </row>
    <row r="507" spans="1:6" x14ac:dyDescent="0.25">
      <c r="A507" s="18"/>
      <c r="D507" s="18"/>
      <c r="E507" s="18"/>
      <c r="F507" s="18"/>
    </row>
    <row r="508" spans="1:6" x14ac:dyDescent="0.25">
      <c r="A508" s="48" t="s">
        <v>242</v>
      </c>
      <c r="D508" s="18" t="s">
        <v>60</v>
      </c>
      <c r="E508" s="18">
        <v>114593</v>
      </c>
      <c r="F508" s="18">
        <v>-4092.33</v>
      </c>
    </row>
    <row r="509" spans="1:6" x14ac:dyDescent="0.25">
      <c r="A509" s="45" t="s">
        <v>179</v>
      </c>
      <c r="B509" s="27">
        <f>E511-E508</f>
        <v>-1.3570000000036089</v>
      </c>
      <c r="C509" s="27">
        <f>F511-F508</f>
        <v>4.2909999999997126</v>
      </c>
      <c r="D509" s="18" t="s">
        <v>200</v>
      </c>
      <c r="E509" s="18">
        <v>114591.629</v>
      </c>
      <c r="F509" s="27">
        <v>-4088.0450000000001</v>
      </c>
    </row>
    <row r="510" spans="1:6" x14ac:dyDescent="0.25">
      <c r="A510" s="35">
        <v>4.5</v>
      </c>
      <c r="D510" s="18"/>
      <c r="E510" s="27">
        <f>E511-E509</f>
        <v>1.3999999995576218E-2</v>
      </c>
      <c r="F510" s="27">
        <f>F511-F509</f>
        <v>5.9999999998581188E-3</v>
      </c>
    </row>
    <row r="511" spans="1:6" x14ac:dyDescent="0.25">
      <c r="A511" s="35"/>
      <c r="D511" s="30" t="s">
        <v>328</v>
      </c>
      <c r="E511" s="44">
        <v>114591.643</v>
      </c>
      <c r="F511" s="44">
        <v>-4088.0390000000002</v>
      </c>
    </row>
    <row r="512" spans="1:6" x14ac:dyDescent="0.25">
      <c r="A512" s="18"/>
      <c r="D512" s="18"/>
      <c r="E512" s="18"/>
      <c r="F512" s="18"/>
    </row>
    <row r="513" spans="1:6" x14ac:dyDescent="0.25">
      <c r="A513" s="48" t="s">
        <v>243</v>
      </c>
      <c r="D513" s="18" t="s">
        <v>200</v>
      </c>
      <c r="E513" s="39">
        <v>114591.643</v>
      </c>
      <c r="F513" s="39">
        <v>-4088.0390000000002</v>
      </c>
    </row>
    <row r="514" spans="1:6" x14ac:dyDescent="0.25">
      <c r="A514" s="45" t="s">
        <v>179</v>
      </c>
      <c r="B514" s="27">
        <f>E516-E513</f>
        <v>-1.9749999999912689</v>
      </c>
      <c r="C514" s="27">
        <f>F516-F513</f>
        <v>6.1970000000001164</v>
      </c>
      <c r="D514" s="18" t="s">
        <v>57</v>
      </c>
      <c r="E514" s="18">
        <v>114589.682</v>
      </c>
      <c r="F514" s="27">
        <v>-4081.8409999999999</v>
      </c>
    </row>
    <row r="515" spans="1:6" x14ac:dyDescent="0.25">
      <c r="A515" s="35">
        <v>6.5039999999999996</v>
      </c>
      <c r="D515" s="18"/>
      <c r="E515" s="27">
        <f>E516-E514</f>
        <v>-1.3999999995576218E-2</v>
      </c>
      <c r="F515" s="27">
        <f>F516-F514</f>
        <v>-1.0000000002037268E-3</v>
      </c>
    </row>
    <row r="516" spans="1:6" x14ac:dyDescent="0.25">
      <c r="A516" s="35"/>
      <c r="D516" s="30" t="s">
        <v>328</v>
      </c>
      <c r="E516" s="44">
        <v>114589.66800000001</v>
      </c>
      <c r="F516" s="44">
        <v>-4081.8420000000001</v>
      </c>
    </row>
    <row r="517" spans="1:6" x14ac:dyDescent="0.25">
      <c r="A517" s="18"/>
      <c r="D517" s="18"/>
      <c r="E517" s="18"/>
      <c r="F517" s="18"/>
    </row>
    <row r="518" spans="1:6" x14ac:dyDescent="0.25">
      <c r="A518" s="48" t="s">
        <v>244</v>
      </c>
      <c r="D518" s="18" t="s">
        <v>57</v>
      </c>
      <c r="E518" s="39">
        <v>114589.66800000001</v>
      </c>
      <c r="F518" s="39">
        <v>-4081.8420000000001</v>
      </c>
    </row>
    <row r="519" spans="1:6" x14ac:dyDescent="0.25">
      <c r="A519" s="45" t="s">
        <v>179</v>
      </c>
      <c r="B519" s="27">
        <f>E521-E518</f>
        <v>-4.7250000000058208</v>
      </c>
      <c r="C519" s="27">
        <f>F521-F518</f>
        <v>14.826000000000022</v>
      </c>
      <c r="D519" s="18" t="s">
        <v>56</v>
      </c>
      <c r="E519" s="18">
        <v>114584.94</v>
      </c>
      <c r="F519" s="27">
        <v>-4067.0250000000001</v>
      </c>
    </row>
    <row r="520" spans="1:6" x14ac:dyDescent="0.25">
      <c r="A520" s="35">
        <v>15.56</v>
      </c>
      <c r="D520" s="18"/>
      <c r="E520" s="27">
        <f>E521-E519</f>
        <v>2.9999999969732016E-3</v>
      </c>
      <c r="F520" s="27">
        <f>F521-F519</f>
        <v>9.0000000000145519E-3</v>
      </c>
    </row>
    <row r="521" spans="1:6" x14ac:dyDescent="0.25">
      <c r="A521" s="35"/>
      <c r="D521" s="30" t="s">
        <v>328</v>
      </c>
      <c r="E521" s="44">
        <v>114584.943</v>
      </c>
      <c r="F521" s="44">
        <v>-4067.0160000000001</v>
      </c>
    </row>
    <row r="522" spans="1:6" x14ac:dyDescent="0.25">
      <c r="A522" s="18"/>
      <c r="D522" s="18"/>
      <c r="E522" s="18"/>
      <c r="F522" s="18"/>
    </row>
    <row r="523" spans="1:6" x14ac:dyDescent="0.25">
      <c r="A523" s="48" t="s">
        <v>245</v>
      </c>
      <c r="D523" s="18" t="s">
        <v>56</v>
      </c>
      <c r="E523" s="39">
        <v>114584.943</v>
      </c>
      <c r="F523" s="39">
        <v>-4067.0160000000001</v>
      </c>
    </row>
    <row r="524" spans="1:6" x14ac:dyDescent="0.25">
      <c r="A524" s="45" t="s">
        <v>179</v>
      </c>
      <c r="B524" s="27">
        <f>E526-E523</f>
        <v>-4.7250000000058208</v>
      </c>
      <c r="C524" s="27">
        <f>F526-F523</f>
        <v>14.826000000000022</v>
      </c>
      <c r="D524" s="18" t="s">
        <v>55</v>
      </c>
      <c r="E524" s="18">
        <v>114580.21400000001</v>
      </c>
      <c r="F524" s="27">
        <v>-4052.1860000000001</v>
      </c>
    </row>
    <row r="525" spans="1:6" x14ac:dyDescent="0.25">
      <c r="A525" s="35">
        <v>15.56</v>
      </c>
      <c r="D525" s="18"/>
      <c r="E525" s="27">
        <f>E526-E524</f>
        <v>3.999999986262992E-3</v>
      </c>
      <c r="F525" s="27">
        <f>F526-F524</f>
        <v>-3.9999999999054126E-3</v>
      </c>
    </row>
    <row r="526" spans="1:6" x14ac:dyDescent="0.25">
      <c r="A526" s="35"/>
      <c r="D526" s="30" t="s">
        <v>328</v>
      </c>
      <c r="E526" s="44">
        <v>114580.21799999999</v>
      </c>
      <c r="F526" s="44">
        <v>-4052.19</v>
      </c>
    </row>
    <row r="527" spans="1:6" x14ac:dyDescent="0.25">
      <c r="A527" s="18"/>
      <c r="D527" s="18"/>
      <c r="E527" s="18"/>
      <c r="F527" s="18"/>
    </row>
    <row r="528" spans="1:6" x14ac:dyDescent="0.25">
      <c r="A528" s="48" t="s">
        <v>246</v>
      </c>
      <c r="D528" s="18" t="s">
        <v>55</v>
      </c>
      <c r="E528" s="39">
        <v>114580.21799999999</v>
      </c>
      <c r="F528" s="39">
        <v>-4052.19</v>
      </c>
    </row>
    <row r="529" spans="1:6" x14ac:dyDescent="0.25">
      <c r="A529" s="45" t="s">
        <v>179</v>
      </c>
      <c r="B529" s="27">
        <f>E531-E528</f>
        <v>-3.4539999999979045</v>
      </c>
      <c r="C529" s="27">
        <f>F531-F528</f>
        <v>10.838999999999942</v>
      </c>
      <c r="D529" s="18" t="s">
        <v>200</v>
      </c>
      <c r="E529" s="18">
        <v>114576.77</v>
      </c>
      <c r="F529" s="27">
        <v>-4041.3310000000001</v>
      </c>
    </row>
    <row r="530" spans="1:6" x14ac:dyDescent="0.25">
      <c r="A530" s="35">
        <v>11.377000000000001</v>
      </c>
      <c r="D530" s="18"/>
      <c r="E530" s="27">
        <f>E531-E529</f>
        <v>-6.0000000084983185E-3</v>
      </c>
      <c r="F530" s="27">
        <f>F531-F529</f>
        <v>-1.999999999998181E-2</v>
      </c>
    </row>
    <row r="531" spans="1:6" x14ac:dyDescent="0.25">
      <c r="A531" s="35"/>
      <c r="D531" s="30" t="s">
        <v>328</v>
      </c>
      <c r="E531" s="44">
        <v>114576.764</v>
      </c>
      <c r="F531" s="44">
        <v>-4041.3510000000001</v>
      </c>
    </row>
    <row r="532" spans="1:6" x14ac:dyDescent="0.25">
      <c r="A532" s="18"/>
      <c r="D532" s="18"/>
      <c r="E532" s="18"/>
      <c r="F532" s="18"/>
    </row>
    <row r="533" spans="1:6" x14ac:dyDescent="0.25">
      <c r="A533" s="48" t="s">
        <v>247</v>
      </c>
      <c r="D533" s="18" t="s">
        <v>200</v>
      </c>
      <c r="E533" s="39">
        <v>114576.764</v>
      </c>
      <c r="F533" s="39">
        <v>-4041.3510000000001</v>
      </c>
    </row>
    <row r="534" spans="1:6" x14ac:dyDescent="0.25">
      <c r="A534" s="45" t="s">
        <v>179</v>
      </c>
      <c r="B534" s="27">
        <f>E536-E533</f>
        <v>-1.3659999999945285</v>
      </c>
      <c r="C534" s="27">
        <f>F536-F533</f>
        <v>4.2880000000000109</v>
      </c>
      <c r="D534" s="18" t="s">
        <v>54</v>
      </c>
      <c r="E534" s="18">
        <v>114575.394</v>
      </c>
      <c r="F534" s="27">
        <v>-4037.0549999999998</v>
      </c>
    </row>
    <row r="535" spans="1:6" x14ac:dyDescent="0.25">
      <c r="A535" s="35">
        <v>4.5</v>
      </c>
      <c r="D535" s="18"/>
      <c r="E535" s="27">
        <f>E536-E534</f>
        <v>4.0000000008149073E-3</v>
      </c>
      <c r="F535" s="27">
        <f>F536-F534</f>
        <v>-8.0000000002655725E-3</v>
      </c>
    </row>
    <row r="536" spans="1:6" x14ac:dyDescent="0.25">
      <c r="A536" s="35"/>
      <c r="D536" s="30" t="s">
        <v>328</v>
      </c>
      <c r="E536" s="44">
        <v>114575.398</v>
      </c>
      <c r="F536" s="44">
        <v>-4037.0630000000001</v>
      </c>
    </row>
    <row r="537" spans="1:6" x14ac:dyDescent="0.25">
      <c r="A537" s="18"/>
      <c r="D537" s="18"/>
      <c r="E537" s="18"/>
      <c r="F537" s="18"/>
    </row>
    <row r="538" spans="1:6" x14ac:dyDescent="0.25">
      <c r="A538" s="48" t="s">
        <v>248</v>
      </c>
      <c r="D538" s="18" t="s">
        <v>54</v>
      </c>
      <c r="E538" s="39">
        <v>114575.398</v>
      </c>
      <c r="F538" s="39">
        <v>-4037.0630000000001</v>
      </c>
    </row>
    <row r="539" spans="1:6" x14ac:dyDescent="0.25">
      <c r="A539" s="45" t="s">
        <v>212</v>
      </c>
      <c r="B539" s="27">
        <f>E541-E538</f>
        <v>4.297999999995227</v>
      </c>
      <c r="C539" s="27">
        <f>F541-F538</f>
        <v>1.331000000000131</v>
      </c>
      <c r="D539" s="18" t="s">
        <v>203</v>
      </c>
      <c r="E539" s="27">
        <v>114579.701</v>
      </c>
      <c r="F539" s="27">
        <v>-4035.7260000000001</v>
      </c>
    </row>
    <row r="540" spans="1:6" x14ac:dyDescent="0.25">
      <c r="A540" s="35">
        <v>4.5</v>
      </c>
      <c r="D540" s="18"/>
      <c r="E540" s="27">
        <f>E541-E539</f>
        <v>-5.0000000046566129E-3</v>
      </c>
      <c r="F540" s="27">
        <f>F541-F539</f>
        <v>-5.9999999998581188E-3</v>
      </c>
    </row>
    <row r="541" spans="1:6" x14ac:dyDescent="0.25">
      <c r="A541" s="35"/>
      <c r="D541" s="30" t="s">
        <v>328</v>
      </c>
      <c r="E541" s="44">
        <v>114579.696</v>
      </c>
      <c r="F541" s="44">
        <v>-4035.732</v>
      </c>
    </row>
    <row r="542" spans="1:6" x14ac:dyDescent="0.25">
      <c r="A542" s="18"/>
      <c r="D542" s="18"/>
      <c r="E542" s="18"/>
      <c r="F542" s="18"/>
    </row>
    <row r="543" spans="1:6" x14ac:dyDescent="0.25">
      <c r="A543" s="48" t="s">
        <v>249</v>
      </c>
      <c r="D543" s="18" t="s">
        <v>203</v>
      </c>
      <c r="E543" s="39">
        <v>114579.696</v>
      </c>
      <c r="F543" s="39">
        <v>-4035.732</v>
      </c>
    </row>
    <row r="544" spans="1:6" x14ac:dyDescent="0.25">
      <c r="A544" s="45" t="s">
        <v>212</v>
      </c>
      <c r="B544" s="27">
        <f>E546-E543</f>
        <v>26.756999999997788</v>
      </c>
      <c r="C544" s="27">
        <f>F546-F543</f>
        <v>8.2880000000000109</v>
      </c>
      <c r="D544" s="18" t="s">
        <v>70</v>
      </c>
      <c r="E544" s="18">
        <v>114606.465</v>
      </c>
      <c r="F544" s="18">
        <v>-4027.43</v>
      </c>
    </row>
    <row r="545" spans="1:6" x14ac:dyDescent="0.25">
      <c r="A545" s="35">
        <v>28.01</v>
      </c>
      <c r="D545" s="18"/>
      <c r="E545" s="27">
        <f>E546-E544</f>
        <v>-1.2000000002444722E-2</v>
      </c>
      <c r="F545" s="27">
        <f>F546-F544</f>
        <v>-1.4000000000123691E-2</v>
      </c>
    </row>
    <row r="546" spans="1:6" x14ac:dyDescent="0.25">
      <c r="A546" s="35"/>
      <c r="D546" s="30" t="s">
        <v>328</v>
      </c>
      <c r="E546" s="44">
        <v>114606.45299999999</v>
      </c>
      <c r="F546" s="44">
        <v>-4027.444</v>
      </c>
    </row>
    <row r="547" spans="1:6" x14ac:dyDescent="0.25">
      <c r="A547" s="18"/>
      <c r="D547" s="18"/>
      <c r="E547" s="18"/>
      <c r="F547" s="18"/>
    </row>
    <row r="548" spans="1:6" x14ac:dyDescent="0.25">
      <c r="A548" s="48" t="s">
        <v>250</v>
      </c>
      <c r="D548" s="18" t="s">
        <v>70</v>
      </c>
      <c r="E548" s="39">
        <v>114606.45299999999</v>
      </c>
      <c r="F548" s="39">
        <v>-4027.444</v>
      </c>
    </row>
    <row r="549" spans="1:6" x14ac:dyDescent="0.25">
      <c r="A549" s="45" t="s">
        <v>182</v>
      </c>
      <c r="B549" s="27">
        <f>E551-E548</f>
        <v>4.8210000000108266</v>
      </c>
      <c r="C549" s="27">
        <f>F551-F548</f>
        <v>-15.126999999999953</v>
      </c>
      <c r="D549" s="18" t="s">
        <v>69</v>
      </c>
      <c r="E549" s="18">
        <v>114611.268</v>
      </c>
      <c r="F549" s="27">
        <v>-4042.5590000000002</v>
      </c>
    </row>
    <row r="550" spans="1:6" x14ac:dyDescent="0.25">
      <c r="A550" s="35">
        <v>15.88</v>
      </c>
      <c r="D550" s="18"/>
      <c r="E550" s="27">
        <f>E551-E549</f>
        <v>6.0000000084983185E-3</v>
      </c>
      <c r="F550" s="27">
        <f>F551-F549</f>
        <v>-1.1999999999716238E-2</v>
      </c>
    </row>
    <row r="551" spans="1:6" x14ac:dyDescent="0.25">
      <c r="A551" s="35"/>
      <c r="D551" s="30" t="s">
        <v>328</v>
      </c>
      <c r="E551" s="44">
        <v>114611.274</v>
      </c>
      <c r="F551" s="44">
        <v>-4042.5709999999999</v>
      </c>
    </row>
    <row r="552" spans="1:6" x14ac:dyDescent="0.25">
      <c r="A552" s="18"/>
      <c r="D552" s="18"/>
      <c r="E552" s="18"/>
      <c r="F552" s="18"/>
    </row>
    <row r="553" spans="1:6" x14ac:dyDescent="0.25">
      <c r="A553" s="48" t="s">
        <v>251</v>
      </c>
      <c r="D553" s="18" t="s">
        <v>69</v>
      </c>
      <c r="E553" s="39">
        <v>114611.274</v>
      </c>
      <c r="F553" s="39">
        <v>-4042.5709999999999</v>
      </c>
    </row>
    <row r="554" spans="1:6" x14ac:dyDescent="0.25">
      <c r="A554" s="45" t="s">
        <v>182</v>
      </c>
      <c r="B554" s="27">
        <f>E556-E553</f>
        <v>4.7249999999912689</v>
      </c>
      <c r="C554" s="27">
        <f>F556-F553</f>
        <v>-14.826000000000022</v>
      </c>
      <c r="D554" s="18" t="s">
        <v>68</v>
      </c>
      <c r="E554" s="18">
        <v>114616.00199999999</v>
      </c>
      <c r="F554" s="18">
        <v>-4057.3870000000002</v>
      </c>
    </row>
    <row r="555" spans="1:6" x14ac:dyDescent="0.25">
      <c r="A555" s="35">
        <v>15.56</v>
      </c>
      <c r="D555" s="18"/>
      <c r="E555" s="27">
        <f>E556-E554</f>
        <v>-2.9999999969732016E-3</v>
      </c>
      <c r="F555" s="27">
        <f>F556-F554</f>
        <v>-9.9999999997635314E-3</v>
      </c>
    </row>
    <row r="556" spans="1:6" x14ac:dyDescent="0.25">
      <c r="A556" s="35"/>
      <c r="D556" s="30" t="s">
        <v>328</v>
      </c>
      <c r="E556" s="44">
        <v>114615.999</v>
      </c>
      <c r="F556" s="44">
        <v>-4057.3969999999999</v>
      </c>
    </row>
    <row r="557" spans="1:6" x14ac:dyDescent="0.25">
      <c r="A557" s="18"/>
      <c r="D557" s="18"/>
      <c r="E557" s="18"/>
      <c r="F557" s="18"/>
    </row>
    <row r="558" spans="1:6" x14ac:dyDescent="0.25">
      <c r="A558" s="48" t="s">
        <v>252</v>
      </c>
      <c r="D558" s="18" t="s">
        <v>68</v>
      </c>
      <c r="E558" s="39">
        <v>114615.999</v>
      </c>
      <c r="F558" s="39">
        <v>-4057.3969999999999</v>
      </c>
    </row>
    <row r="559" spans="1:6" x14ac:dyDescent="0.25">
      <c r="A559" s="45" t="s">
        <v>182</v>
      </c>
      <c r="B559" s="27">
        <f>E561-E558</f>
        <v>4.7240000000019791</v>
      </c>
      <c r="C559" s="27">
        <f>F561-F558</f>
        <v>-14.825000000000273</v>
      </c>
      <c r="D559" s="18" t="s">
        <v>67</v>
      </c>
      <c r="E559" s="18">
        <v>114620.713</v>
      </c>
      <c r="F559" s="27">
        <v>-4072.2420000000002</v>
      </c>
    </row>
    <row r="560" spans="1:6" x14ac:dyDescent="0.25">
      <c r="A560" s="35">
        <v>15.56</v>
      </c>
      <c r="D560" s="18"/>
      <c r="E560" s="27">
        <f>E561-E559</f>
        <v>9.9999999947613105E-3</v>
      </c>
      <c r="F560" s="27">
        <f>F561-F559</f>
        <v>1.999999999998181E-2</v>
      </c>
    </row>
    <row r="561" spans="1:6" x14ac:dyDescent="0.25">
      <c r="A561" s="35"/>
      <c r="D561" s="30" t="s">
        <v>328</v>
      </c>
      <c r="E561" s="44">
        <v>114620.723</v>
      </c>
      <c r="F561" s="44">
        <v>-4072.2220000000002</v>
      </c>
    </row>
    <row r="562" spans="1:6" x14ac:dyDescent="0.25">
      <c r="A562" s="18"/>
      <c r="D562" s="18"/>
      <c r="E562" s="18"/>
      <c r="F562" s="18"/>
    </row>
    <row r="563" spans="1:6" x14ac:dyDescent="0.25">
      <c r="A563" s="48" t="s">
        <v>253</v>
      </c>
      <c r="D563" s="18" t="s">
        <v>67</v>
      </c>
      <c r="E563" s="39">
        <v>114620.723</v>
      </c>
      <c r="F563" s="39">
        <v>-4072.2220000000002</v>
      </c>
    </row>
    <row r="564" spans="1:6" x14ac:dyDescent="0.25">
      <c r="A564" s="45" t="s">
        <v>182</v>
      </c>
      <c r="B564" s="27">
        <f>E566-E563</f>
        <v>5.0590000000083819</v>
      </c>
      <c r="C564" s="27">
        <f>F566-F563</f>
        <v>-15.873999999999796</v>
      </c>
      <c r="D564" s="18" t="s">
        <v>66</v>
      </c>
      <c r="E564" s="18">
        <v>114625.768</v>
      </c>
      <c r="F564" s="27">
        <v>-4088.0839999999998</v>
      </c>
    </row>
    <row r="565" spans="1:6" x14ac:dyDescent="0.25">
      <c r="A565" s="35">
        <v>16.66</v>
      </c>
      <c r="D565" s="18"/>
      <c r="E565" s="27">
        <f>E566-E564</f>
        <v>1.4000000010128133E-2</v>
      </c>
      <c r="F565" s="27">
        <f>F566-F564</f>
        <v>-1.2000000000170985E-2</v>
      </c>
    </row>
    <row r="566" spans="1:6" x14ac:dyDescent="0.25">
      <c r="A566" s="35"/>
      <c r="D566" s="30" t="s">
        <v>328</v>
      </c>
      <c r="E566" s="44">
        <v>114625.78200000001</v>
      </c>
      <c r="F566" s="44">
        <v>-4088.096</v>
      </c>
    </row>
    <row r="567" spans="1:6" x14ac:dyDescent="0.25">
      <c r="A567" s="18"/>
      <c r="D567" s="18"/>
      <c r="E567" s="18"/>
      <c r="F567" s="18"/>
    </row>
    <row r="568" spans="1:6" x14ac:dyDescent="0.25">
      <c r="A568" s="48" t="s">
        <v>319</v>
      </c>
      <c r="D568" s="18" t="s">
        <v>66</v>
      </c>
      <c r="E568" s="39">
        <v>114625.78200000001</v>
      </c>
      <c r="F568" s="39">
        <v>-4088.096</v>
      </c>
    </row>
    <row r="569" spans="1:6" x14ac:dyDescent="0.25">
      <c r="A569" s="45" t="s">
        <v>182</v>
      </c>
      <c r="B569" s="27">
        <f>E571-E568</f>
        <v>4.3949999999895226</v>
      </c>
      <c r="C569" s="27">
        <f>F571-F568</f>
        <v>-13.790999999999713</v>
      </c>
      <c r="D569" s="18" t="s">
        <v>65</v>
      </c>
      <c r="E569" s="18">
        <v>114630.17200000001</v>
      </c>
      <c r="F569" s="27">
        <v>-4101.9070000000002</v>
      </c>
    </row>
    <row r="570" spans="1:6" x14ac:dyDescent="0.25">
      <c r="A570" s="18">
        <v>14.47</v>
      </c>
      <c r="D570" s="18"/>
      <c r="E570" s="27">
        <f>E571-E569</f>
        <v>4.9999999901046976E-3</v>
      </c>
      <c r="F570" s="27">
        <f>F571-F569</f>
        <v>2.0000000000436557E-2</v>
      </c>
    </row>
    <row r="571" spans="1:6" x14ac:dyDescent="0.25">
      <c r="A571" s="18"/>
      <c r="D571" s="30" t="s">
        <v>328</v>
      </c>
      <c r="E571" s="44">
        <v>114630.177</v>
      </c>
      <c r="F571" s="44">
        <v>-4101.8869999999997</v>
      </c>
    </row>
    <row r="572" spans="1:6" x14ac:dyDescent="0.25">
      <c r="A572" s="18"/>
      <c r="D572" s="18"/>
      <c r="E572" s="18"/>
      <c r="F572" s="18"/>
    </row>
    <row r="573" spans="1:6" x14ac:dyDescent="0.25">
      <c r="A573" s="48" t="s">
        <v>205</v>
      </c>
      <c r="D573" s="18" t="s">
        <v>65</v>
      </c>
      <c r="E573" s="39">
        <v>114630.177</v>
      </c>
      <c r="F573" s="39">
        <v>-4101.8869999999997</v>
      </c>
    </row>
    <row r="574" spans="1:6" x14ac:dyDescent="0.25">
      <c r="A574" s="45" t="s">
        <v>181</v>
      </c>
      <c r="B574" s="27">
        <f>E576-E573</f>
        <v>-35.353999999992084</v>
      </c>
      <c r="C574" s="27">
        <f>F576-F573</f>
        <v>-10.951000000000022</v>
      </c>
      <c r="D574" s="18" t="s">
        <v>64</v>
      </c>
      <c r="E574" s="18">
        <v>114594.848</v>
      </c>
      <c r="F574" s="18">
        <v>-4112.835</v>
      </c>
    </row>
    <row r="575" spans="1:6" x14ac:dyDescent="0.25">
      <c r="A575" s="39">
        <v>37.01</v>
      </c>
      <c r="D575" s="18"/>
      <c r="E575" s="27">
        <f>E576-E574</f>
        <v>-2.4999999994179234E-2</v>
      </c>
      <c r="F575" s="27">
        <f>F576-F574</f>
        <v>-2.9999999997016857E-3</v>
      </c>
    </row>
    <row r="576" spans="1:6" x14ac:dyDescent="0.25">
      <c r="A576" s="18"/>
      <c r="D576" s="30" t="s">
        <v>328</v>
      </c>
      <c r="E576" s="44">
        <v>114594.823</v>
      </c>
      <c r="F576" s="44">
        <v>-4112.8379999999997</v>
      </c>
    </row>
    <row r="577" spans="1:6" x14ac:dyDescent="0.25">
      <c r="A577" s="18"/>
      <c r="D577" s="18"/>
      <c r="E577" s="18"/>
      <c r="F577" s="18"/>
    </row>
    <row r="578" spans="1:6" x14ac:dyDescent="0.25">
      <c r="A578" s="18"/>
      <c r="D578" s="18"/>
      <c r="E578" s="18"/>
      <c r="F578" s="18"/>
    </row>
    <row r="579" spans="1:6" x14ac:dyDescent="0.25">
      <c r="A579" s="18"/>
      <c r="D579" s="18"/>
      <c r="E579" s="18"/>
      <c r="F579" s="18"/>
    </row>
    <row r="580" spans="1:6" x14ac:dyDescent="0.25">
      <c r="A580" s="48" t="s">
        <v>262</v>
      </c>
      <c r="D580" s="18" t="s">
        <v>73</v>
      </c>
      <c r="E580" s="39">
        <v>114639.11</v>
      </c>
      <c r="F580" s="39">
        <v>-4017.328</v>
      </c>
    </row>
    <row r="581" spans="1:6" x14ac:dyDescent="0.25">
      <c r="A581" s="45" t="s">
        <v>181</v>
      </c>
      <c r="B581" s="27">
        <f>E583-E580</f>
        <v>-4.297999999995227</v>
      </c>
      <c r="C581" s="27">
        <f>F583-F580</f>
        <v>-1.331000000000131</v>
      </c>
      <c r="D581" s="18" t="s">
        <v>203</v>
      </c>
      <c r="E581" s="18">
        <v>114634.79300000001</v>
      </c>
      <c r="F581" s="27">
        <v>-4018.6559999999999</v>
      </c>
    </row>
    <row r="582" spans="1:6" x14ac:dyDescent="0.25">
      <c r="A582" s="39">
        <v>4.5</v>
      </c>
      <c r="D582" s="18"/>
      <c r="E582" s="27">
        <f>E583-E581</f>
        <v>1.9000000000232831E-2</v>
      </c>
      <c r="F582" s="27">
        <f>F583-F581</f>
        <v>-3.0000000001564331E-3</v>
      </c>
    </row>
    <row r="583" spans="1:6" x14ac:dyDescent="0.25">
      <c r="A583" s="18"/>
      <c r="D583" s="30" t="s">
        <v>328</v>
      </c>
      <c r="E583" s="44">
        <v>114634.81200000001</v>
      </c>
      <c r="F583" s="44">
        <v>-4018.6590000000001</v>
      </c>
    </row>
    <row r="584" spans="1:6" x14ac:dyDescent="0.25">
      <c r="A584" s="18"/>
      <c r="D584" s="30"/>
      <c r="E584" s="44"/>
      <c r="F584" s="44"/>
    </row>
    <row r="585" spans="1:6" x14ac:dyDescent="0.25">
      <c r="A585" s="48" t="s">
        <v>249</v>
      </c>
      <c r="D585" s="18" t="s">
        <v>203</v>
      </c>
      <c r="E585" s="18">
        <v>114634.81</v>
      </c>
      <c r="F585" s="18">
        <v>-4018.66</v>
      </c>
    </row>
    <row r="586" spans="1:6" x14ac:dyDescent="0.25">
      <c r="A586" s="45" t="s">
        <v>181</v>
      </c>
      <c r="B586" s="27">
        <f>E588-E585</f>
        <v>-28.357000000003609</v>
      </c>
      <c r="C586" s="27">
        <f>F588-F585</f>
        <v>-8.7840000000001055</v>
      </c>
      <c r="D586" s="18" t="s">
        <v>70</v>
      </c>
      <c r="E586" s="18">
        <v>114606.465</v>
      </c>
      <c r="F586" s="18">
        <v>-4027.43</v>
      </c>
    </row>
    <row r="587" spans="1:6" x14ac:dyDescent="0.25">
      <c r="A587" s="35">
        <v>29.69</v>
      </c>
      <c r="D587" s="18"/>
      <c r="E587" s="27">
        <f>E588-E586</f>
        <v>-1.2000000002444722E-2</v>
      </c>
      <c r="F587" s="27">
        <f>F588-F586</f>
        <v>-1.4000000000123691E-2</v>
      </c>
    </row>
    <row r="588" spans="1:6" x14ac:dyDescent="0.25">
      <c r="A588" s="35"/>
      <c r="D588" s="30" t="s">
        <v>328</v>
      </c>
      <c r="E588" s="44">
        <v>114606.45299999999</v>
      </c>
      <c r="F588" s="44">
        <v>-4027.444</v>
      </c>
    </row>
    <row r="589" spans="1:6" x14ac:dyDescent="0.25">
      <c r="A589" s="18"/>
      <c r="D589" s="18"/>
      <c r="E589" s="18"/>
      <c r="F589" s="18"/>
    </row>
    <row r="590" spans="1:6" x14ac:dyDescent="0.25">
      <c r="A590" s="48" t="s">
        <v>250</v>
      </c>
      <c r="D590" s="18" t="s">
        <v>70</v>
      </c>
      <c r="E590" s="39">
        <v>114606.45299999999</v>
      </c>
      <c r="F590" s="39">
        <v>-4027.444</v>
      </c>
    </row>
    <row r="591" spans="1:6" x14ac:dyDescent="0.25">
      <c r="A591" s="45" t="s">
        <v>182</v>
      </c>
      <c r="B591" s="27">
        <f>E593-E590</f>
        <v>4.8210000000108266</v>
      </c>
      <c r="C591" s="27">
        <f>F593-F590</f>
        <v>-15.126999999999953</v>
      </c>
      <c r="D591" s="18" t="s">
        <v>69</v>
      </c>
      <c r="E591" s="18">
        <v>114611.268</v>
      </c>
      <c r="F591" s="27">
        <v>-4042.5590000000002</v>
      </c>
    </row>
    <row r="592" spans="1:6" x14ac:dyDescent="0.25">
      <c r="A592" s="35">
        <v>15.88</v>
      </c>
      <c r="D592" s="18"/>
      <c r="E592" s="27">
        <f>E593-E591</f>
        <v>6.0000000084983185E-3</v>
      </c>
      <c r="F592" s="27">
        <f>F593-F591</f>
        <v>-1.1999999999716238E-2</v>
      </c>
    </row>
    <row r="593" spans="1:6" x14ac:dyDescent="0.25">
      <c r="A593" s="35"/>
      <c r="D593" s="30" t="s">
        <v>328</v>
      </c>
      <c r="E593" s="44">
        <v>114611.274</v>
      </c>
      <c r="F593" s="44">
        <v>-4042.5709999999999</v>
      </c>
    </row>
    <row r="594" spans="1:6" x14ac:dyDescent="0.25">
      <c r="A594" s="18"/>
      <c r="D594" s="18"/>
      <c r="E594" s="18"/>
      <c r="F594" s="18"/>
    </row>
    <row r="595" spans="1:6" x14ac:dyDescent="0.25">
      <c r="A595" s="48" t="s">
        <v>251</v>
      </c>
      <c r="D595" s="18" t="s">
        <v>69</v>
      </c>
      <c r="E595" s="39">
        <v>114611.274</v>
      </c>
      <c r="F595" s="39">
        <v>-4042.5709999999999</v>
      </c>
    </row>
    <row r="596" spans="1:6" x14ac:dyDescent="0.25">
      <c r="A596" s="45" t="s">
        <v>182</v>
      </c>
      <c r="B596" s="27">
        <f>E598-E595</f>
        <v>4.7249999999912689</v>
      </c>
      <c r="C596" s="27">
        <f>F598-F595</f>
        <v>-14.826000000000022</v>
      </c>
      <c r="D596" s="18" t="s">
        <v>68</v>
      </c>
      <c r="E596" s="18">
        <v>114616.00199999999</v>
      </c>
      <c r="F596" s="18">
        <v>-4057.3870000000002</v>
      </c>
    </row>
    <row r="597" spans="1:6" x14ac:dyDescent="0.25">
      <c r="A597" s="35">
        <v>15.56</v>
      </c>
      <c r="D597" s="18"/>
      <c r="E597" s="27">
        <f>E598-E596</f>
        <v>-2.9999999969732016E-3</v>
      </c>
      <c r="F597" s="27">
        <f>F598-F596</f>
        <v>-9.9999999997635314E-3</v>
      </c>
    </row>
    <row r="598" spans="1:6" x14ac:dyDescent="0.25">
      <c r="A598" s="35"/>
      <c r="D598" s="30" t="s">
        <v>328</v>
      </c>
      <c r="E598" s="44">
        <v>114615.999</v>
      </c>
      <c r="F598" s="44">
        <v>-4057.3969999999999</v>
      </c>
    </row>
    <row r="599" spans="1:6" x14ac:dyDescent="0.25">
      <c r="A599" s="18"/>
      <c r="D599" s="18"/>
      <c r="E599" s="18"/>
      <c r="F599" s="18"/>
    </row>
    <row r="600" spans="1:6" x14ac:dyDescent="0.25">
      <c r="A600" s="48" t="s">
        <v>252</v>
      </c>
      <c r="D600" s="18" t="s">
        <v>68</v>
      </c>
      <c r="E600" s="39">
        <v>114615.999</v>
      </c>
      <c r="F600" s="39">
        <v>-4057.3969999999999</v>
      </c>
    </row>
    <row r="601" spans="1:6" x14ac:dyDescent="0.25">
      <c r="A601" s="45" t="s">
        <v>182</v>
      </c>
      <c r="B601" s="27">
        <f>E603-E600</f>
        <v>4.7240000000019791</v>
      </c>
      <c r="C601" s="27">
        <f>F603-F600</f>
        <v>-14.825000000000273</v>
      </c>
      <c r="D601" s="18" t="s">
        <v>67</v>
      </c>
      <c r="E601" s="18">
        <v>114620.713</v>
      </c>
      <c r="F601" s="27">
        <v>-4072.2420000000002</v>
      </c>
    </row>
    <row r="602" spans="1:6" x14ac:dyDescent="0.25">
      <c r="A602" s="35">
        <v>15.56</v>
      </c>
      <c r="D602" s="18"/>
      <c r="E602" s="27">
        <f>E603-E601</f>
        <v>9.9999999947613105E-3</v>
      </c>
      <c r="F602" s="27">
        <f>F603-F601</f>
        <v>1.999999999998181E-2</v>
      </c>
    </row>
    <row r="603" spans="1:6" x14ac:dyDescent="0.25">
      <c r="A603" s="35"/>
      <c r="D603" s="30" t="s">
        <v>328</v>
      </c>
      <c r="E603" s="44">
        <v>114620.723</v>
      </c>
      <c r="F603" s="44">
        <v>-4072.2220000000002</v>
      </c>
    </row>
    <row r="604" spans="1:6" x14ac:dyDescent="0.25">
      <c r="A604" s="18"/>
      <c r="D604" s="18"/>
      <c r="E604" s="18"/>
      <c r="F604" s="18"/>
    </row>
    <row r="605" spans="1:6" x14ac:dyDescent="0.25">
      <c r="A605" s="48" t="s">
        <v>253</v>
      </c>
      <c r="D605" s="18" t="s">
        <v>67</v>
      </c>
      <c r="E605" s="39">
        <v>114620.723</v>
      </c>
      <c r="F605" s="39">
        <v>-4072.2220000000002</v>
      </c>
    </row>
    <row r="606" spans="1:6" x14ac:dyDescent="0.25">
      <c r="A606" s="45" t="s">
        <v>182</v>
      </c>
      <c r="B606" s="27">
        <f>E608-E605</f>
        <v>5.0590000000083819</v>
      </c>
      <c r="C606" s="27">
        <f>F608-F605</f>
        <v>-15.873999999999796</v>
      </c>
      <c r="D606" s="18" t="s">
        <v>66</v>
      </c>
      <c r="E606" s="18">
        <v>114625.768</v>
      </c>
      <c r="F606" s="27">
        <v>-4088.0839999999998</v>
      </c>
    </row>
    <row r="607" spans="1:6" x14ac:dyDescent="0.25">
      <c r="A607" s="35">
        <v>16.66</v>
      </c>
      <c r="D607" s="18"/>
      <c r="E607" s="27">
        <f>E608-E606</f>
        <v>1.4000000010128133E-2</v>
      </c>
      <c r="F607" s="27">
        <f>F608-F606</f>
        <v>-1.2000000000170985E-2</v>
      </c>
    </row>
    <row r="608" spans="1:6" x14ac:dyDescent="0.25">
      <c r="A608" s="35"/>
      <c r="D608" s="30" t="s">
        <v>328</v>
      </c>
      <c r="E608" s="44">
        <v>114625.78200000001</v>
      </c>
      <c r="F608" s="44">
        <v>-4088.096</v>
      </c>
    </row>
    <row r="609" spans="1:6" x14ac:dyDescent="0.25">
      <c r="A609" s="18"/>
      <c r="D609" s="18"/>
      <c r="E609" s="18"/>
      <c r="F609" s="18"/>
    </row>
    <row r="610" spans="1:6" x14ac:dyDescent="0.25">
      <c r="A610" s="48" t="s">
        <v>319</v>
      </c>
      <c r="D610" s="18" t="s">
        <v>66</v>
      </c>
      <c r="E610" s="39">
        <v>114625.78200000001</v>
      </c>
      <c r="F610" s="39">
        <v>-4088.096</v>
      </c>
    </row>
    <row r="611" spans="1:6" x14ac:dyDescent="0.25">
      <c r="A611" s="45" t="s">
        <v>182</v>
      </c>
      <c r="B611" s="27">
        <f>E613-E610</f>
        <v>4.3949999999895226</v>
      </c>
      <c r="C611" s="27">
        <f>F613-F610</f>
        <v>-13.790999999999713</v>
      </c>
      <c r="D611" s="18" t="s">
        <v>65</v>
      </c>
      <c r="E611" s="18">
        <v>114630.17200000001</v>
      </c>
      <c r="F611" s="27">
        <v>-4101.9070000000002</v>
      </c>
    </row>
    <row r="612" spans="1:6" x14ac:dyDescent="0.25">
      <c r="A612" s="18">
        <v>14.47</v>
      </c>
      <c r="D612" s="18"/>
      <c r="E612" s="27">
        <f>E613-E611</f>
        <v>4.9999999901046976E-3</v>
      </c>
      <c r="F612" s="27">
        <f>F613-F611</f>
        <v>2.0000000000436557E-2</v>
      </c>
    </row>
    <row r="613" spans="1:6" x14ac:dyDescent="0.25">
      <c r="A613" s="18"/>
      <c r="D613" s="30" t="s">
        <v>328</v>
      </c>
      <c r="E613" s="44">
        <v>114630.177</v>
      </c>
      <c r="F613" s="44">
        <v>-4101.8869999999997</v>
      </c>
    </row>
    <row r="614" spans="1:6" x14ac:dyDescent="0.25">
      <c r="A614" s="18"/>
      <c r="D614" s="18"/>
      <c r="E614" s="18"/>
      <c r="F614" s="18"/>
    </row>
    <row r="615" spans="1:6" x14ac:dyDescent="0.25">
      <c r="A615" s="48" t="s">
        <v>320</v>
      </c>
      <c r="D615" s="18" t="s">
        <v>65</v>
      </c>
      <c r="E615" s="39">
        <v>114630.177</v>
      </c>
      <c r="F615" s="39">
        <v>-4101.8869999999997</v>
      </c>
    </row>
    <row r="616" spans="1:6" x14ac:dyDescent="0.25">
      <c r="A616" s="45" t="s">
        <v>212</v>
      </c>
      <c r="B616" s="27">
        <f>E618-E615</f>
        <v>36.956000000005588</v>
      </c>
      <c r="C616" s="27">
        <f>F618-F615</f>
        <v>11.446999999999662</v>
      </c>
      <c r="D616" s="18" t="s">
        <v>97</v>
      </c>
      <c r="E616" s="39">
        <v>114667.132</v>
      </c>
      <c r="F616" s="35">
        <v>-4090.4690000000001</v>
      </c>
    </row>
    <row r="617" spans="1:6" x14ac:dyDescent="0.25">
      <c r="A617" s="18">
        <v>38.69</v>
      </c>
      <c r="D617" s="18"/>
      <c r="E617" s="27">
        <f>E618-E616</f>
        <v>1.0000000038417056E-3</v>
      </c>
      <c r="F617" s="18">
        <f>F618-F616</f>
        <v>2.8999999999996362E-2</v>
      </c>
    </row>
    <row r="618" spans="1:6" x14ac:dyDescent="0.25">
      <c r="A618" s="18"/>
      <c r="D618" s="30" t="s">
        <v>328</v>
      </c>
      <c r="E618" s="44">
        <v>114667.133</v>
      </c>
      <c r="F618" s="38">
        <v>-4090.44</v>
      </c>
    </row>
    <row r="619" spans="1:6" x14ac:dyDescent="0.25">
      <c r="A619" s="18"/>
      <c r="D619" s="18"/>
      <c r="E619" s="18"/>
      <c r="F619" s="18"/>
    </row>
    <row r="620" spans="1:6" x14ac:dyDescent="0.25">
      <c r="A620" s="48" t="s">
        <v>321</v>
      </c>
      <c r="D620" s="18" t="s">
        <v>97</v>
      </c>
      <c r="E620" s="39">
        <v>114667.133</v>
      </c>
      <c r="F620" s="35">
        <v>-4090.44</v>
      </c>
    </row>
    <row r="621" spans="1:6" x14ac:dyDescent="0.25">
      <c r="A621" s="45" t="s">
        <v>179</v>
      </c>
      <c r="B621" s="27">
        <f>E623-E620</f>
        <v>-3.3790000000008149</v>
      </c>
      <c r="C621" s="27">
        <f>F623-F620</f>
        <v>10.605000000000018</v>
      </c>
      <c r="D621" s="18" t="s">
        <v>96</v>
      </c>
      <c r="E621" s="18">
        <v>114663.757</v>
      </c>
      <c r="F621" s="27">
        <v>-4079.848</v>
      </c>
    </row>
    <row r="622" spans="1:6" x14ac:dyDescent="0.25">
      <c r="A622" s="18">
        <v>11.13</v>
      </c>
      <c r="D622" s="18"/>
      <c r="E622" s="27">
        <f>E623-E621</f>
        <v>-2.9999999969732016E-3</v>
      </c>
      <c r="F622" s="27">
        <f>F623-F621</f>
        <v>1.2999999999919964E-2</v>
      </c>
    </row>
    <row r="623" spans="1:6" x14ac:dyDescent="0.25">
      <c r="A623" s="18"/>
      <c r="D623" s="30" t="s">
        <v>328</v>
      </c>
      <c r="E623" s="44">
        <v>114663.754</v>
      </c>
      <c r="F623" s="44">
        <v>-4079.835</v>
      </c>
    </row>
    <row r="624" spans="1:6" x14ac:dyDescent="0.25">
      <c r="A624" s="18"/>
      <c r="D624" s="30"/>
      <c r="E624" s="44"/>
      <c r="F624" s="44"/>
    </row>
    <row r="625" spans="1:6" x14ac:dyDescent="0.25">
      <c r="A625" s="48" t="s">
        <v>322</v>
      </c>
      <c r="D625" s="18" t="s">
        <v>96</v>
      </c>
      <c r="E625" s="39">
        <v>114663.754</v>
      </c>
      <c r="F625" s="39">
        <v>-4079.835</v>
      </c>
    </row>
    <row r="626" spans="1:6" x14ac:dyDescent="0.25">
      <c r="A626" s="45" t="s">
        <v>212</v>
      </c>
      <c r="B626" s="27">
        <f>E628-E625</f>
        <v>-8.5939999999973224</v>
      </c>
      <c r="C626" s="27">
        <f>F628-F625</f>
        <v>-2.6649999999999636</v>
      </c>
      <c r="D626" s="18" t="s">
        <v>81</v>
      </c>
      <c r="E626" s="39">
        <v>114655.159</v>
      </c>
      <c r="F626" s="39">
        <v>-4082.4949999999999</v>
      </c>
    </row>
    <row r="627" spans="1:6" x14ac:dyDescent="0.25">
      <c r="A627" s="73">
        <v>9</v>
      </c>
      <c r="D627" s="30"/>
      <c r="E627" s="39">
        <f>E628-E626</f>
        <v>1.0000000038417056E-3</v>
      </c>
      <c r="F627" s="39">
        <f>F628-F626</f>
        <v>-5.0000000001091394E-3</v>
      </c>
    </row>
    <row r="628" spans="1:6" x14ac:dyDescent="0.25">
      <c r="A628" s="45"/>
      <c r="D628" s="30" t="s">
        <v>328</v>
      </c>
      <c r="E628" s="44">
        <v>114655.16</v>
      </c>
      <c r="F628" s="44">
        <v>-4082.5</v>
      </c>
    </row>
    <row r="629" spans="1:6" x14ac:dyDescent="0.25">
      <c r="A629" s="18"/>
      <c r="D629" s="18"/>
      <c r="E629" s="18"/>
      <c r="F629" s="18"/>
    </row>
    <row r="630" spans="1:6" x14ac:dyDescent="0.25">
      <c r="A630" s="48" t="s">
        <v>323</v>
      </c>
      <c r="D630" s="18" t="s">
        <v>81</v>
      </c>
      <c r="E630" s="39">
        <v>114655.156</v>
      </c>
      <c r="F630" s="39">
        <v>-4082.498</v>
      </c>
    </row>
    <row r="631" spans="1:6" x14ac:dyDescent="0.25">
      <c r="A631" s="45" t="s">
        <v>179</v>
      </c>
      <c r="B631" s="27">
        <f>E633-E630</f>
        <v>-1.0149999999994179</v>
      </c>
      <c r="C631" s="27">
        <f>F633-F630</f>
        <v>3.1860000000001492</v>
      </c>
      <c r="D631" s="18" t="s">
        <v>80</v>
      </c>
      <c r="E631" s="18">
        <v>114654.13400000001</v>
      </c>
      <c r="F631" s="18">
        <v>-4079.3249999999998</v>
      </c>
    </row>
    <row r="632" spans="1:6" x14ac:dyDescent="0.25">
      <c r="A632" s="18">
        <v>3.34</v>
      </c>
      <c r="D632" s="18"/>
      <c r="E632" s="27">
        <f>E633-E631</f>
        <v>6.9999999977881089E-3</v>
      </c>
      <c r="F632" s="27">
        <f>F633-F631</f>
        <v>1.2999999999919964E-2</v>
      </c>
    </row>
    <row r="633" spans="1:6" x14ac:dyDescent="0.25">
      <c r="A633" s="18"/>
      <c r="D633" s="30" t="s">
        <v>328</v>
      </c>
      <c r="E633" s="44">
        <v>114654.141</v>
      </c>
      <c r="F633" s="44">
        <v>-4079.3119999999999</v>
      </c>
    </row>
    <row r="634" spans="1:6" x14ac:dyDescent="0.25">
      <c r="A634" s="18"/>
      <c r="D634" s="18"/>
      <c r="E634" s="18"/>
      <c r="F634" s="18"/>
    </row>
    <row r="635" spans="1:6" x14ac:dyDescent="0.25">
      <c r="A635" s="48" t="s">
        <v>254</v>
      </c>
      <c r="D635" s="18" t="s">
        <v>80</v>
      </c>
      <c r="E635" s="39">
        <v>114654.141</v>
      </c>
      <c r="F635" s="39">
        <v>-4079.3119999999999</v>
      </c>
    </row>
    <row r="636" spans="1:6" x14ac:dyDescent="0.25">
      <c r="A636" s="45" t="s">
        <v>179</v>
      </c>
      <c r="B636" s="27">
        <f>E638-E635</f>
        <v>-1.7060000000055879</v>
      </c>
      <c r="C636" s="27">
        <f>F638-F635</f>
        <v>5.3539999999998145</v>
      </c>
      <c r="D636" s="18" t="s">
        <v>203</v>
      </c>
      <c r="E636" s="18">
        <v>114652.447</v>
      </c>
      <c r="F636" s="27">
        <v>-4073.9659999999999</v>
      </c>
    </row>
    <row r="637" spans="1:6" x14ac:dyDescent="0.25">
      <c r="A637" s="35">
        <v>5.62</v>
      </c>
      <c r="D637" s="18"/>
      <c r="E637" s="27">
        <f>E638-E636</f>
        <v>-1.2000000002444722E-2</v>
      </c>
      <c r="F637" s="27">
        <f>F638-F636</f>
        <v>7.9999999998108251E-3</v>
      </c>
    </row>
    <row r="638" spans="1:6" x14ac:dyDescent="0.25">
      <c r="A638" s="35"/>
      <c r="D638" s="30" t="s">
        <v>328</v>
      </c>
      <c r="E638" s="44">
        <v>114652.435</v>
      </c>
      <c r="F638" s="44">
        <v>-4073.9580000000001</v>
      </c>
    </row>
    <row r="639" spans="1:6" x14ac:dyDescent="0.25">
      <c r="A639" s="18"/>
      <c r="D639" s="18"/>
      <c r="E639" s="18"/>
      <c r="F639" s="18"/>
    </row>
    <row r="640" spans="1:6" x14ac:dyDescent="0.25">
      <c r="A640" s="48" t="s">
        <v>255</v>
      </c>
      <c r="D640" s="18" t="s">
        <v>203</v>
      </c>
      <c r="E640" s="39">
        <v>114652.435</v>
      </c>
      <c r="F640" s="39">
        <v>-4073.9580000000001</v>
      </c>
    </row>
    <row r="641" spans="1:6" x14ac:dyDescent="0.25">
      <c r="A641" s="45" t="s">
        <v>212</v>
      </c>
      <c r="B641" s="27">
        <f>E643-E640</f>
        <v>4.2949999999982538</v>
      </c>
      <c r="C641" s="27">
        <f>F643-F640</f>
        <v>1.3479999999999563</v>
      </c>
      <c r="D641" s="18" t="s">
        <v>78</v>
      </c>
      <c r="E641" s="18">
        <v>114656.727</v>
      </c>
      <c r="F641" s="27">
        <v>-4072.6039999999998</v>
      </c>
    </row>
    <row r="642" spans="1:6" x14ac:dyDescent="0.25">
      <c r="A642" s="35">
        <v>4.5</v>
      </c>
      <c r="D642" s="18"/>
      <c r="E642" s="27">
        <f>E643-E641</f>
        <v>2.9999999969732016E-3</v>
      </c>
      <c r="F642" s="27">
        <f>F643-F641</f>
        <v>-6.0000000003128662E-3</v>
      </c>
    </row>
    <row r="643" spans="1:6" x14ac:dyDescent="0.25">
      <c r="A643" s="35"/>
      <c r="D643" s="30" t="s">
        <v>328</v>
      </c>
      <c r="E643" s="44">
        <v>114656.73</v>
      </c>
      <c r="F643" s="44">
        <v>-4072.61</v>
      </c>
    </row>
    <row r="644" spans="1:6" x14ac:dyDescent="0.25">
      <c r="A644" s="18"/>
      <c r="D644" s="18"/>
      <c r="E644" s="18"/>
      <c r="F644" s="18"/>
    </row>
    <row r="645" spans="1:6" x14ac:dyDescent="0.25">
      <c r="A645" s="48" t="s">
        <v>256</v>
      </c>
      <c r="D645" s="18" t="s">
        <v>78</v>
      </c>
      <c r="E645" s="39">
        <v>114656.73</v>
      </c>
      <c r="F645" s="39">
        <v>-4072.61</v>
      </c>
    </row>
    <row r="646" spans="1:6" x14ac:dyDescent="0.25">
      <c r="A646" s="45" t="s">
        <v>179</v>
      </c>
      <c r="B646" s="27">
        <f>E648-E645</f>
        <v>-1.3739999999961583</v>
      </c>
      <c r="C646" s="27">
        <f>F648-F645</f>
        <v>4.30600000000004</v>
      </c>
      <c r="D646" s="18" t="s">
        <v>200</v>
      </c>
      <c r="E646" s="18">
        <v>114655.36599999999</v>
      </c>
      <c r="F646" s="27">
        <v>-4068.2910000000002</v>
      </c>
    </row>
    <row r="647" spans="1:6" x14ac:dyDescent="0.25">
      <c r="A647" s="35">
        <v>4.5</v>
      </c>
      <c r="D647" s="18"/>
      <c r="E647" s="27">
        <f>E648-E646</f>
        <v>-9.9999999947613105E-3</v>
      </c>
      <c r="F647" s="27">
        <f>F648-F646</f>
        <v>-1.2999999999919964E-2</v>
      </c>
    </row>
    <row r="648" spans="1:6" x14ac:dyDescent="0.25">
      <c r="A648" s="35"/>
      <c r="D648" s="30" t="s">
        <v>328</v>
      </c>
      <c r="E648" s="44">
        <v>114655.356</v>
      </c>
      <c r="F648" s="44">
        <v>-4068.3040000000001</v>
      </c>
    </row>
    <row r="649" spans="1:6" x14ac:dyDescent="0.25">
      <c r="A649" s="18"/>
      <c r="D649" s="18"/>
      <c r="E649" s="18"/>
      <c r="F649" s="18"/>
    </row>
    <row r="650" spans="1:6" x14ac:dyDescent="0.25">
      <c r="A650" s="48" t="s">
        <v>257</v>
      </c>
      <c r="D650" s="18" t="s">
        <v>200</v>
      </c>
      <c r="E650" s="39">
        <v>114655.356</v>
      </c>
      <c r="F650" s="39">
        <v>-4068.3040000000001</v>
      </c>
    </row>
    <row r="651" spans="1:6" x14ac:dyDescent="0.25">
      <c r="A651" s="45" t="s">
        <v>179</v>
      </c>
      <c r="B651" s="27">
        <f>E653-E650</f>
        <v>-1.9750000000058208</v>
      </c>
      <c r="C651" s="27">
        <f>F653-F650</f>
        <v>6.1970000000001164</v>
      </c>
      <c r="D651" s="18" t="s">
        <v>76</v>
      </c>
      <c r="E651" s="18">
        <v>114653.37699999999</v>
      </c>
      <c r="F651" s="27">
        <v>-4062.098</v>
      </c>
    </row>
    <row r="652" spans="1:6" x14ac:dyDescent="0.25">
      <c r="A652" s="35">
        <v>6.5039999999999996</v>
      </c>
      <c r="D652" s="18"/>
      <c r="E652" s="27">
        <f>E653-E651</f>
        <v>4.0000000008149073E-3</v>
      </c>
      <c r="F652" s="27">
        <f>F653-F651</f>
        <v>-9.0000000000145519E-3</v>
      </c>
    </row>
    <row r="653" spans="1:6" x14ac:dyDescent="0.25">
      <c r="A653" s="35"/>
      <c r="D653" s="30" t="s">
        <v>328</v>
      </c>
      <c r="E653" s="44">
        <v>114653.38099999999</v>
      </c>
      <c r="F653" s="44">
        <v>-4062.107</v>
      </c>
    </row>
    <row r="654" spans="1:6" x14ac:dyDescent="0.25">
      <c r="A654" s="18"/>
      <c r="D654" s="18"/>
      <c r="E654" s="18"/>
      <c r="F654" s="18"/>
    </row>
    <row r="655" spans="1:6" x14ac:dyDescent="0.25">
      <c r="A655" s="48" t="s">
        <v>258</v>
      </c>
      <c r="D655" s="18" t="s">
        <v>76</v>
      </c>
      <c r="E655" s="39">
        <v>114653.38099999999</v>
      </c>
      <c r="F655" s="39">
        <v>-4062.107</v>
      </c>
    </row>
    <row r="656" spans="1:6" x14ac:dyDescent="0.25">
      <c r="A656" s="45" t="s">
        <v>179</v>
      </c>
      <c r="B656" s="27">
        <f>E658-E655</f>
        <v>-4.7249999999912689</v>
      </c>
      <c r="C656" s="27">
        <f>F658-F655</f>
        <v>14.826000000000022</v>
      </c>
      <c r="D656" s="18" t="s">
        <v>75</v>
      </c>
      <c r="E656" s="18">
        <v>114648.65300000001</v>
      </c>
      <c r="F656" s="27">
        <v>-4047.2829999999999</v>
      </c>
    </row>
    <row r="657" spans="1:6" x14ac:dyDescent="0.25">
      <c r="A657" s="35">
        <v>15.56</v>
      </c>
      <c r="D657" s="18"/>
      <c r="E657" s="27">
        <f>E658-E656</f>
        <v>2.9999999969732016E-3</v>
      </c>
      <c r="F657" s="27">
        <f>F658-F656</f>
        <v>1.9999999999527063E-3</v>
      </c>
    </row>
    <row r="658" spans="1:6" x14ac:dyDescent="0.25">
      <c r="A658" s="35"/>
      <c r="D658" s="30" t="s">
        <v>328</v>
      </c>
      <c r="E658" s="44">
        <v>114648.656</v>
      </c>
      <c r="F658" s="44">
        <v>-4047.2809999999999</v>
      </c>
    </row>
    <row r="659" spans="1:6" x14ac:dyDescent="0.25">
      <c r="A659" s="35"/>
      <c r="D659" s="18"/>
      <c r="E659" s="18"/>
      <c r="F659" s="18"/>
    </row>
    <row r="660" spans="1:6" x14ac:dyDescent="0.25">
      <c r="A660" s="48" t="s">
        <v>259</v>
      </c>
      <c r="D660" s="18" t="s">
        <v>75</v>
      </c>
      <c r="E660" s="39">
        <v>114648.656</v>
      </c>
      <c r="F660" s="39">
        <v>-4047.2809999999999</v>
      </c>
    </row>
    <row r="661" spans="1:6" x14ac:dyDescent="0.25">
      <c r="A661" s="45" t="s">
        <v>179</v>
      </c>
      <c r="B661" s="27">
        <f>E663-E660</f>
        <v>-4.7250000000058208</v>
      </c>
      <c r="C661" s="27">
        <f>F663-F660</f>
        <v>14.826000000000022</v>
      </c>
      <c r="D661" s="18" t="s">
        <v>74</v>
      </c>
      <c r="E661" s="18">
        <v>114643.939</v>
      </c>
      <c r="F661" s="27">
        <v>-4032.4630000000002</v>
      </c>
    </row>
    <row r="662" spans="1:6" x14ac:dyDescent="0.25">
      <c r="A662" s="35">
        <v>15.56</v>
      </c>
      <c r="D662" s="18"/>
      <c r="E662" s="27">
        <f>E663-E661</f>
        <v>-8.0000000016298145E-3</v>
      </c>
      <c r="F662" s="27">
        <f>F663-F661</f>
        <v>8.0000000002655725E-3</v>
      </c>
    </row>
    <row r="663" spans="1:6" x14ac:dyDescent="0.25">
      <c r="A663" s="35"/>
      <c r="D663" s="30" t="s">
        <v>328</v>
      </c>
      <c r="E663" s="44">
        <v>114643.931</v>
      </c>
      <c r="F663" s="44">
        <v>-4032.4549999999999</v>
      </c>
    </row>
    <row r="664" spans="1:6" x14ac:dyDescent="0.25">
      <c r="A664" s="35"/>
      <c r="D664" s="18"/>
      <c r="E664" s="18"/>
      <c r="F664" s="18"/>
    </row>
    <row r="665" spans="1:6" x14ac:dyDescent="0.25">
      <c r="A665" s="48" t="s">
        <v>260</v>
      </c>
      <c r="D665" s="18" t="s">
        <v>74</v>
      </c>
      <c r="E665" s="39">
        <v>114643.931</v>
      </c>
      <c r="F665" s="39">
        <v>-4032.4549999999999</v>
      </c>
    </row>
    <row r="666" spans="1:6" x14ac:dyDescent="0.25">
      <c r="A666" s="45" t="s">
        <v>179</v>
      </c>
      <c r="B666" s="27">
        <f>E668-E665</f>
        <v>-3.4539999999979045</v>
      </c>
      <c r="C666" s="27">
        <f>F668-F665</f>
        <v>10.838999999999942</v>
      </c>
      <c r="D666" s="18" t="s">
        <v>200</v>
      </c>
      <c r="E666" s="18">
        <v>114640.48699999999</v>
      </c>
      <c r="F666" s="18">
        <v>-4021.61</v>
      </c>
    </row>
    <row r="667" spans="1:6" x14ac:dyDescent="0.25">
      <c r="A667" s="35">
        <v>11.38</v>
      </c>
      <c r="D667" s="18"/>
      <c r="E667" s="27">
        <f>E668-E666</f>
        <v>-9.9999999947613105E-3</v>
      </c>
      <c r="F667" s="27">
        <f>F668-F666</f>
        <v>-5.9999999998581188E-3</v>
      </c>
    </row>
    <row r="668" spans="1:6" x14ac:dyDescent="0.25">
      <c r="A668" s="35"/>
      <c r="D668" s="30" t="s">
        <v>328</v>
      </c>
      <c r="E668" s="44">
        <v>114640.477</v>
      </c>
      <c r="F668" s="44">
        <v>-4021.616</v>
      </c>
    </row>
    <row r="669" spans="1:6" x14ac:dyDescent="0.25">
      <c r="A669" s="18"/>
      <c r="D669" s="18"/>
      <c r="E669" s="18"/>
      <c r="F669" s="18"/>
    </row>
    <row r="670" spans="1:6" x14ac:dyDescent="0.25">
      <c r="A670" s="48" t="s">
        <v>261</v>
      </c>
      <c r="D670" s="18" t="s">
        <v>200</v>
      </c>
      <c r="E670" s="39">
        <v>114640.477</v>
      </c>
      <c r="F670" s="39">
        <v>-4021.616</v>
      </c>
    </row>
    <row r="671" spans="1:6" x14ac:dyDescent="0.25">
      <c r="A671" s="45" t="s">
        <v>179</v>
      </c>
      <c r="B671" s="27">
        <f>E673-E670</f>
        <v>-1.3669999999983702</v>
      </c>
      <c r="C671" s="27">
        <f>F673-F670</f>
        <v>4.2880000000000109</v>
      </c>
      <c r="D671" s="18" t="s">
        <v>73</v>
      </c>
      <c r="E671" s="18">
        <v>114639.11900000001</v>
      </c>
      <c r="F671" s="18">
        <v>-4017.33</v>
      </c>
    </row>
    <row r="672" spans="1:6" x14ac:dyDescent="0.25">
      <c r="A672" s="35">
        <v>4.5</v>
      </c>
      <c r="D672" s="18"/>
      <c r="E672" s="27">
        <f>E673-E671</f>
        <v>-9.0000000054715201E-3</v>
      </c>
      <c r="F672" s="27">
        <f>F673-F671</f>
        <v>1.9999999999527063E-3</v>
      </c>
    </row>
    <row r="673" spans="1:6" x14ac:dyDescent="0.25">
      <c r="A673" s="18"/>
      <c r="D673" s="30" t="s">
        <v>328</v>
      </c>
      <c r="E673" s="44">
        <v>114639.11</v>
      </c>
      <c r="F673" s="44">
        <v>-4017.328</v>
      </c>
    </row>
    <row r="674" spans="1:6" x14ac:dyDescent="0.25">
      <c r="A674" s="18"/>
      <c r="D674" s="18"/>
      <c r="E674" s="18"/>
      <c r="F674" s="18"/>
    </row>
    <row r="675" spans="1:6" x14ac:dyDescent="0.25">
      <c r="A675" s="18"/>
      <c r="D675" s="18"/>
      <c r="E675" s="18"/>
      <c r="F675" s="18"/>
    </row>
    <row r="676" spans="1:6" x14ac:dyDescent="0.25">
      <c r="A676" s="18"/>
      <c r="D676" s="18"/>
      <c r="E676" s="18"/>
      <c r="F676" s="18"/>
    </row>
    <row r="677" spans="1:6" x14ac:dyDescent="0.25">
      <c r="A677" s="48" t="s">
        <v>321</v>
      </c>
      <c r="D677" s="18" t="s">
        <v>97</v>
      </c>
      <c r="E677" s="39">
        <v>114667.133</v>
      </c>
      <c r="F677" s="35">
        <v>-4090.44</v>
      </c>
    </row>
    <row r="678" spans="1:6" x14ac:dyDescent="0.25">
      <c r="A678" s="45" t="s">
        <v>179</v>
      </c>
      <c r="B678" s="27">
        <f>E680-E677</f>
        <v>-3.3790000000008149</v>
      </c>
      <c r="C678" s="27">
        <f>F680-F677</f>
        <v>10.605000000000018</v>
      </c>
      <c r="D678" s="18" t="s">
        <v>96</v>
      </c>
      <c r="E678" s="18">
        <v>114663.757</v>
      </c>
      <c r="F678" s="27">
        <v>-4079.848</v>
      </c>
    </row>
    <row r="679" spans="1:6" x14ac:dyDescent="0.25">
      <c r="A679" s="18">
        <v>11.13</v>
      </c>
      <c r="D679" s="18"/>
      <c r="E679" s="27">
        <f>E680-E678</f>
        <v>-2.9999999969732016E-3</v>
      </c>
      <c r="F679" s="27">
        <f>F680-F678</f>
        <v>1.2999999999919964E-2</v>
      </c>
    </row>
    <row r="680" spans="1:6" x14ac:dyDescent="0.25">
      <c r="A680" s="18"/>
      <c r="D680" s="30" t="s">
        <v>328</v>
      </c>
      <c r="E680" s="44">
        <v>114663.754</v>
      </c>
      <c r="F680" s="44">
        <v>-4079.835</v>
      </c>
    </row>
    <row r="681" spans="1:6" x14ac:dyDescent="0.25">
      <c r="A681" s="18"/>
      <c r="D681" s="18"/>
      <c r="E681" s="18"/>
      <c r="F681" s="18"/>
    </row>
    <row r="682" spans="1:6" x14ac:dyDescent="0.25">
      <c r="A682" s="48" t="s">
        <v>263</v>
      </c>
      <c r="D682" s="18" t="s">
        <v>96</v>
      </c>
      <c r="E682" s="39">
        <v>114663.754</v>
      </c>
      <c r="F682" s="39">
        <v>-4079.835</v>
      </c>
    </row>
    <row r="683" spans="1:6" x14ac:dyDescent="0.25">
      <c r="A683" s="45" t="s">
        <v>212</v>
      </c>
      <c r="B683" s="27">
        <f>E685-E682</f>
        <v>8.5969999999942956</v>
      </c>
      <c r="C683" s="27">
        <f>F685-F682</f>
        <v>2.6630000000000109</v>
      </c>
      <c r="D683" s="18" t="s">
        <v>95</v>
      </c>
      <c r="E683" s="18">
        <v>114672.372</v>
      </c>
      <c r="F683" s="27">
        <v>-4077.1759999999999</v>
      </c>
    </row>
    <row r="684" spans="1:6" x14ac:dyDescent="0.25">
      <c r="A684" s="35">
        <v>9</v>
      </c>
      <c r="D684" s="18"/>
      <c r="E684" s="27">
        <f>E685-E683</f>
        <v>-2.1000000007916242E-2</v>
      </c>
      <c r="F684" s="27">
        <f>F685-F683</f>
        <v>3.9999999999054126E-3</v>
      </c>
    </row>
    <row r="685" spans="1:6" x14ac:dyDescent="0.25">
      <c r="A685" s="35"/>
      <c r="D685" s="30" t="s">
        <v>328</v>
      </c>
      <c r="E685" s="44">
        <v>114672.351</v>
      </c>
      <c r="F685" s="44">
        <v>-4077.172</v>
      </c>
    </row>
    <row r="686" spans="1:6" x14ac:dyDescent="0.25">
      <c r="A686" s="18"/>
      <c r="D686" s="18"/>
      <c r="E686" s="18"/>
      <c r="F686" s="18"/>
    </row>
    <row r="687" spans="1:6" x14ac:dyDescent="0.25">
      <c r="A687" s="48" t="s">
        <v>264</v>
      </c>
      <c r="D687" s="18" t="s">
        <v>95</v>
      </c>
      <c r="E687" s="39">
        <v>114672.351</v>
      </c>
      <c r="F687" s="39">
        <v>-4077.172</v>
      </c>
    </row>
    <row r="688" spans="1:6" x14ac:dyDescent="0.25">
      <c r="A688" s="45" t="s">
        <v>179</v>
      </c>
      <c r="B688" s="27">
        <f>E690-E687</f>
        <v>-0.8110000000015134</v>
      </c>
      <c r="C688" s="27">
        <f>F690-F687</f>
        <v>2.5450000000000728</v>
      </c>
      <c r="D688" s="18" t="s">
        <v>94</v>
      </c>
      <c r="E688" s="18">
        <v>114671.53200000001</v>
      </c>
      <c r="F688" s="27">
        <v>-4074.6149999999998</v>
      </c>
    </row>
    <row r="689" spans="1:6" x14ac:dyDescent="0.25">
      <c r="A689" s="39">
        <v>2.6709999999999998</v>
      </c>
      <c r="D689" s="18"/>
      <c r="E689" s="27">
        <f>E690-E688</f>
        <v>7.9999999870778993E-3</v>
      </c>
      <c r="F689" s="27">
        <f>F690-F688</f>
        <v>-1.2000000000170985E-2</v>
      </c>
    </row>
    <row r="690" spans="1:6" x14ac:dyDescent="0.25">
      <c r="A690" s="39"/>
      <c r="D690" s="30" t="s">
        <v>328</v>
      </c>
      <c r="E690" s="44">
        <v>114671.54</v>
      </c>
      <c r="F690" s="44">
        <v>-4074.627</v>
      </c>
    </row>
    <row r="691" spans="1:6" x14ac:dyDescent="0.25">
      <c r="A691" s="18"/>
      <c r="D691" s="18"/>
      <c r="E691" s="18"/>
      <c r="F691" s="18"/>
    </row>
    <row r="692" spans="1:6" x14ac:dyDescent="0.25">
      <c r="A692" s="48" t="s">
        <v>265</v>
      </c>
      <c r="D692" s="18" t="s">
        <v>94</v>
      </c>
      <c r="E692" s="39">
        <v>114671.54</v>
      </c>
      <c r="F692" s="39">
        <v>-4074.627</v>
      </c>
    </row>
    <row r="693" spans="1:6" x14ac:dyDescent="0.25">
      <c r="A693" s="45" t="s">
        <v>179</v>
      </c>
      <c r="B693" s="27">
        <f>E695-E692</f>
        <v>-1.9329999999899883</v>
      </c>
      <c r="C693" s="27">
        <f>F695-F692</f>
        <v>6.0650000000000546</v>
      </c>
      <c r="D693" s="18" t="s">
        <v>203</v>
      </c>
      <c r="E693" s="27">
        <v>114669.595</v>
      </c>
      <c r="F693" s="27">
        <v>-4068.556</v>
      </c>
    </row>
    <row r="694" spans="1:6" x14ac:dyDescent="0.25">
      <c r="A694" s="35">
        <v>6.3659999999999997</v>
      </c>
      <c r="D694" s="18"/>
      <c r="E694" s="27">
        <f>E695-E693</f>
        <v>1.2000000002444722E-2</v>
      </c>
      <c r="F694" s="27">
        <f>F695-F693</f>
        <v>-5.9999999998581188E-3</v>
      </c>
    </row>
    <row r="695" spans="1:6" x14ac:dyDescent="0.25">
      <c r="A695" s="35"/>
      <c r="D695" s="30" t="s">
        <v>328</v>
      </c>
      <c r="E695" s="44">
        <v>114669.607</v>
      </c>
      <c r="F695" s="44">
        <v>-4068.5619999999999</v>
      </c>
    </row>
    <row r="696" spans="1:6" x14ac:dyDescent="0.25">
      <c r="A696" s="18"/>
      <c r="D696" s="18"/>
      <c r="E696" s="18"/>
      <c r="F696" s="18"/>
    </row>
    <row r="697" spans="1:6" x14ac:dyDescent="0.25">
      <c r="A697" s="48" t="s">
        <v>266</v>
      </c>
      <c r="D697" s="18" t="s">
        <v>203</v>
      </c>
      <c r="E697" s="39">
        <v>114669.607</v>
      </c>
      <c r="F697" s="39">
        <v>-4068.5619999999999</v>
      </c>
    </row>
    <row r="698" spans="1:6" x14ac:dyDescent="0.25">
      <c r="A698" s="45" t="s">
        <v>212</v>
      </c>
      <c r="B698" s="27">
        <f>E700-E697</f>
        <v>-4.2970000000059372</v>
      </c>
      <c r="C698" s="27">
        <f>F700-F697</f>
        <v>-1.3479999999999563</v>
      </c>
      <c r="D698" s="18" t="s">
        <v>84</v>
      </c>
      <c r="E698" s="18">
        <v>114665.31299999999</v>
      </c>
      <c r="F698" s="27">
        <v>-4069.8980000000001</v>
      </c>
    </row>
    <row r="699" spans="1:6" x14ac:dyDescent="0.25">
      <c r="A699" s="35">
        <v>4.5</v>
      </c>
      <c r="D699" s="18"/>
      <c r="E699" s="27">
        <f>E700-E698</f>
        <v>-2.9999999969732016E-3</v>
      </c>
      <c r="F699" s="27">
        <f>F700-F698</f>
        <v>-1.1999999999716238E-2</v>
      </c>
    </row>
    <row r="700" spans="1:6" x14ac:dyDescent="0.25">
      <c r="A700" s="35"/>
      <c r="D700" s="30" t="s">
        <v>328</v>
      </c>
      <c r="E700" s="44">
        <v>114665.31</v>
      </c>
      <c r="F700" s="44">
        <v>-4069.91</v>
      </c>
    </row>
    <row r="701" spans="1:6" x14ac:dyDescent="0.25">
      <c r="A701" s="18"/>
      <c r="D701" s="18"/>
      <c r="E701" s="18"/>
      <c r="F701" s="18"/>
    </row>
    <row r="702" spans="1:6" x14ac:dyDescent="0.25">
      <c r="A702" s="48" t="s">
        <v>267</v>
      </c>
      <c r="D702" s="18" t="s">
        <v>84</v>
      </c>
      <c r="E702" s="39">
        <v>114665.31</v>
      </c>
      <c r="F702" s="39">
        <v>-4069.91</v>
      </c>
    </row>
    <row r="703" spans="1:6" x14ac:dyDescent="0.25">
      <c r="A703" s="45" t="s">
        <v>179</v>
      </c>
      <c r="B703" s="27">
        <f>E705-E702</f>
        <v>-1.3570000000036089</v>
      </c>
      <c r="C703" s="27">
        <f>F705-F702</f>
        <v>4.2689999999997781</v>
      </c>
      <c r="D703" s="18" t="s">
        <v>200</v>
      </c>
      <c r="E703" s="18">
        <v>114663.946</v>
      </c>
      <c r="F703" s="27">
        <v>-4065.6529999999998</v>
      </c>
    </row>
    <row r="704" spans="1:6" x14ac:dyDescent="0.25">
      <c r="A704" s="35">
        <v>4.5</v>
      </c>
      <c r="D704" s="18"/>
      <c r="E704" s="27">
        <f>E705-E703</f>
        <v>6.9999999977881089E-3</v>
      </c>
      <c r="F704" s="27">
        <f>F705-F703</f>
        <v>1.1999999999716238E-2</v>
      </c>
    </row>
    <row r="705" spans="1:6" x14ac:dyDescent="0.25">
      <c r="A705" s="35"/>
      <c r="D705" s="30" t="s">
        <v>328</v>
      </c>
      <c r="E705" s="44">
        <v>114663.95299999999</v>
      </c>
      <c r="F705" s="44">
        <v>-4065.6410000000001</v>
      </c>
    </row>
    <row r="706" spans="1:6" x14ac:dyDescent="0.25">
      <c r="A706" s="18"/>
      <c r="D706" s="18"/>
      <c r="E706" s="18"/>
      <c r="F706" s="18"/>
    </row>
    <row r="707" spans="1:6" x14ac:dyDescent="0.25">
      <c r="A707" s="48" t="s">
        <v>268</v>
      </c>
      <c r="D707" s="18" t="s">
        <v>200</v>
      </c>
      <c r="E707" s="39">
        <v>114663.95299999999</v>
      </c>
      <c r="F707" s="39">
        <v>-4065.6410000000001</v>
      </c>
    </row>
    <row r="708" spans="1:6" x14ac:dyDescent="0.25">
      <c r="A708" s="45" t="s">
        <v>179</v>
      </c>
      <c r="B708" s="27">
        <f>E710-E707</f>
        <v>-1.4539999999979045</v>
      </c>
      <c r="C708" s="27">
        <f>F710-F707</f>
        <v>4.5619999999998981</v>
      </c>
      <c r="D708" s="18" t="s">
        <v>85</v>
      </c>
      <c r="E708" s="18">
        <v>114662.48</v>
      </c>
      <c r="F708" s="27">
        <v>-4061.0749999999998</v>
      </c>
    </row>
    <row r="709" spans="1:6" x14ac:dyDescent="0.25">
      <c r="A709" s="39">
        <v>4.7880000000000003</v>
      </c>
      <c r="D709" s="18"/>
      <c r="E709" s="27">
        <f>E710-E708</f>
        <v>1.9000000000232831E-2</v>
      </c>
      <c r="F709" s="27">
        <f>F710-F708</f>
        <v>-4.0000000003601599E-3</v>
      </c>
    </row>
    <row r="710" spans="1:6" x14ac:dyDescent="0.25">
      <c r="A710" s="39"/>
      <c r="D710" s="30" t="s">
        <v>328</v>
      </c>
      <c r="E710" s="44">
        <v>114662.499</v>
      </c>
      <c r="F710" s="44">
        <v>-4061.0790000000002</v>
      </c>
    </row>
    <row r="711" spans="1:6" x14ac:dyDescent="0.25">
      <c r="A711" s="18"/>
      <c r="D711" s="18"/>
      <c r="E711" s="18"/>
      <c r="F711" s="18"/>
    </row>
    <row r="712" spans="1:6" x14ac:dyDescent="0.25">
      <c r="A712" s="48" t="s">
        <v>269</v>
      </c>
      <c r="D712" s="18" t="s">
        <v>85</v>
      </c>
      <c r="E712" s="39">
        <v>114662.499</v>
      </c>
      <c r="F712" s="39">
        <v>-4061.0790000000002</v>
      </c>
    </row>
    <row r="713" spans="1:6" x14ac:dyDescent="0.25">
      <c r="A713" s="45" t="s">
        <v>179</v>
      </c>
      <c r="B713" s="27">
        <f>E715-E712</f>
        <v>-4.3809999999939464</v>
      </c>
      <c r="C713" s="27">
        <f>F715-F712</f>
        <v>13.748000000000047</v>
      </c>
      <c r="D713" s="18" t="s">
        <v>86</v>
      </c>
      <c r="E713" s="18">
        <v>114658.107</v>
      </c>
      <c r="F713" s="27">
        <v>-4047.328</v>
      </c>
    </row>
    <row r="714" spans="1:6" x14ac:dyDescent="0.25">
      <c r="A714" s="35">
        <v>14.43</v>
      </c>
      <c r="D714" s="18"/>
      <c r="E714" s="27">
        <f>E715-E713</f>
        <v>1.0999999998603016E-2</v>
      </c>
      <c r="F714" s="27">
        <f>F715-F713</f>
        <v>-3.0000000001564331E-3</v>
      </c>
    </row>
    <row r="715" spans="1:6" x14ac:dyDescent="0.25">
      <c r="A715" s="35"/>
      <c r="D715" s="30" t="s">
        <v>328</v>
      </c>
      <c r="E715" s="44">
        <v>114658.118</v>
      </c>
      <c r="F715" s="44">
        <v>-4047.3310000000001</v>
      </c>
    </row>
    <row r="716" spans="1:6" x14ac:dyDescent="0.25">
      <c r="A716" s="18"/>
      <c r="D716" s="18"/>
      <c r="E716" s="18"/>
      <c r="F716" s="18"/>
    </row>
    <row r="717" spans="1:6" x14ac:dyDescent="0.25">
      <c r="A717" s="48" t="s">
        <v>270</v>
      </c>
      <c r="D717" s="18" t="s">
        <v>86</v>
      </c>
      <c r="E717" s="39">
        <v>114658.118</v>
      </c>
      <c r="F717" s="39">
        <v>-4047.3310000000001</v>
      </c>
    </row>
    <row r="718" spans="1:6" x14ac:dyDescent="0.25">
      <c r="A718" s="45" t="s">
        <v>179</v>
      </c>
      <c r="B718" s="27">
        <f>E720-E717</f>
        <v>-4.3810000000084983</v>
      </c>
      <c r="C718" s="27">
        <f>F720-F717</f>
        <v>13.747000000000298</v>
      </c>
      <c r="D718" s="18" t="s">
        <v>87</v>
      </c>
      <c r="E718" s="18">
        <v>114653.734</v>
      </c>
      <c r="F718" s="27">
        <v>-4033.578</v>
      </c>
    </row>
    <row r="719" spans="1:6" x14ac:dyDescent="0.25">
      <c r="A719" s="35">
        <v>14.43</v>
      </c>
      <c r="D719" s="18"/>
      <c r="E719" s="27">
        <f>E720-E718</f>
        <v>2.9999999969732016E-3</v>
      </c>
      <c r="F719" s="27">
        <f>F720-F718</f>
        <v>-5.9999999998581188E-3</v>
      </c>
    </row>
    <row r="720" spans="1:6" x14ac:dyDescent="0.25">
      <c r="A720" s="35"/>
      <c r="D720" s="30" t="s">
        <v>328</v>
      </c>
      <c r="E720" s="44">
        <v>114653.73699999999</v>
      </c>
      <c r="F720" s="44">
        <v>-4033.5839999999998</v>
      </c>
    </row>
    <row r="721" spans="1:6" x14ac:dyDescent="0.25">
      <c r="A721" s="35"/>
      <c r="D721" s="18"/>
      <c r="E721" s="18"/>
      <c r="F721" s="18"/>
    </row>
    <row r="722" spans="1:6" x14ac:dyDescent="0.25">
      <c r="A722" s="48" t="s">
        <v>271</v>
      </c>
      <c r="D722" s="18" t="s">
        <v>87</v>
      </c>
      <c r="E722" s="39">
        <v>114653.73699999999</v>
      </c>
      <c r="F722" s="39">
        <v>-4033.5839999999998</v>
      </c>
    </row>
    <row r="723" spans="1:6" x14ac:dyDescent="0.25">
      <c r="A723" s="45" t="s">
        <v>179</v>
      </c>
      <c r="B723" s="27">
        <f>E725-E722</f>
        <v>-4.3809999999939464</v>
      </c>
      <c r="C723" s="27">
        <f>F725-F722</f>
        <v>13.746999999999844</v>
      </c>
      <c r="D723" s="18" t="s">
        <v>88</v>
      </c>
      <c r="E723" s="18">
        <v>114649.374</v>
      </c>
      <c r="F723" s="27">
        <v>-4019.8449999999998</v>
      </c>
    </row>
    <row r="724" spans="1:6" x14ac:dyDescent="0.25">
      <c r="A724" s="35">
        <v>14.43</v>
      </c>
      <c r="D724" s="18"/>
      <c r="E724" s="27">
        <f>E725-E723</f>
        <v>-1.7999999996391125E-2</v>
      </c>
      <c r="F724" s="27">
        <f>F725-F723</f>
        <v>7.9999999998108251E-3</v>
      </c>
    </row>
    <row r="725" spans="1:6" x14ac:dyDescent="0.25">
      <c r="A725" s="35"/>
      <c r="D725" s="30" t="s">
        <v>328</v>
      </c>
      <c r="E725" s="44">
        <v>114649.356</v>
      </c>
      <c r="F725" s="44">
        <v>-4019.837</v>
      </c>
    </row>
    <row r="726" spans="1:6" x14ac:dyDescent="0.25">
      <c r="A726" s="35"/>
      <c r="D726" s="18"/>
      <c r="E726" s="18"/>
      <c r="F726" s="18"/>
    </row>
    <row r="727" spans="1:6" x14ac:dyDescent="0.25">
      <c r="A727" s="48" t="s">
        <v>272</v>
      </c>
      <c r="D727" s="18" t="s">
        <v>88</v>
      </c>
      <c r="E727" s="39">
        <v>114649.356</v>
      </c>
      <c r="F727" s="39">
        <v>-4019.837</v>
      </c>
    </row>
    <row r="728" spans="1:6" x14ac:dyDescent="0.25">
      <c r="A728" s="45" t="s">
        <v>179</v>
      </c>
      <c r="B728" s="27">
        <f>E730-E727</f>
        <v>-1.6480000000010477</v>
      </c>
      <c r="C728" s="27">
        <f>F730-F727</f>
        <v>5.1720000000000255</v>
      </c>
      <c r="D728" s="18" t="s">
        <v>105</v>
      </c>
      <c r="E728" s="27">
        <v>114647.704</v>
      </c>
      <c r="F728" s="18">
        <v>-4014.663</v>
      </c>
    </row>
    <row r="729" spans="1:6" x14ac:dyDescent="0.25">
      <c r="A729" s="39">
        <v>5.4279999999999999</v>
      </c>
      <c r="D729" s="18"/>
      <c r="E729" s="27">
        <f>E730-E728</f>
        <v>4.0000000008149073E-3</v>
      </c>
      <c r="F729" s="27">
        <f>F730-F728</f>
        <v>-1.9999999999527063E-3</v>
      </c>
    </row>
    <row r="730" spans="1:6" x14ac:dyDescent="0.25">
      <c r="A730" s="39"/>
      <c r="D730" s="30" t="s">
        <v>328</v>
      </c>
      <c r="E730" s="44">
        <v>114647.708</v>
      </c>
      <c r="F730" s="44">
        <v>-4014.665</v>
      </c>
    </row>
    <row r="731" spans="1:6" x14ac:dyDescent="0.25">
      <c r="A731" s="35"/>
      <c r="D731" s="18"/>
      <c r="E731" s="18"/>
      <c r="F731" s="18"/>
    </row>
    <row r="732" spans="1:6" x14ac:dyDescent="0.25">
      <c r="A732" s="48" t="s">
        <v>273</v>
      </c>
      <c r="D732" s="30" t="s">
        <v>105</v>
      </c>
      <c r="E732" s="44">
        <v>114647.708</v>
      </c>
      <c r="F732" s="44">
        <v>-4014.665</v>
      </c>
    </row>
    <row r="733" spans="1:6" x14ac:dyDescent="0.25">
      <c r="A733" s="45" t="s">
        <v>179</v>
      </c>
      <c r="B733" s="27">
        <f>E735-E732</f>
        <v>-2.728000000002794</v>
      </c>
      <c r="C733" s="27">
        <f>F735-F732</f>
        <v>8.5749999999998181</v>
      </c>
      <c r="D733" s="18" t="s">
        <v>106</v>
      </c>
      <c r="E733" s="18">
        <v>114644.981</v>
      </c>
      <c r="F733" s="27">
        <v>-4006.09</v>
      </c>
    </row>
    <row r="734" spans="1:6" x14ac:dyDescent="0.25">
      <c r="A734" s="35">
        <v>9</v>
      </c>
      <c r="D734" s="18"/>
      <c r="E734" s="27">
        <f>E735-E733</f>
        <v>-1.0000000038417056E-3</v>
      </c>
      <c r="F734" s="27">
        <f>F735-F733</f>
        <v>0</v>
      </c>
    </row>
    <row r="735" spans="1:6" x14ac:dyDescent="0.25">
      <c r="A735" s="35"/>
      <c r="D735" s="30" t="s">
        <v>328</v>
      </c>
      <c r="E735" s="30">
        <v>114644.98</v>
      </c>
      <c r="F735" s="30">
        <v>-4006.09</v>
      </c>
    </row>
    <row r="736" spans="1:6" x14ac:dyDescent="0.25">
      <c r="A736" s="18"/>
      <c r="D736" s="18"/>
      <c r="E736" s="18"/>
      <c r="F736" s="18"/>
    </row>
    <row r="737" spans="1:6" x14ac:dyDescent="0.25">
      <c r="A737" s="48" t="s">
        <v>324</v>
      </c>
      <c r="D737" s="30" t="s">
        <v>106</v>
      </c>
      <c r="E737" s="30">
        <v>114644.98</v>
      </c>
      <c r="F737" s="30">
        <v>-4006.09</v>
      </c>
    </row>
    <row r="738" spans="1:6" x14ac:dyDescent="0.25">
      <c r="A738" s="45" t="s">
        <v>212</v>
      </c>
      <c r="B738" s="18">
        <f>E740-E737</f>
        <v>30.563000000009197</v>
      </c>
      <c r="C738" s="18">
        <f>F740-F737</f>
        <v>9.4690000000000509</v>
      </c>
      <c r="D738" s="18" t="s">
        <v>108</v>
      </c>
      <c r="E738" s="18">
        <v>114675.54399999999</v>
      </c>
      <c r="F738" s="18">
        <v>-3996.62</v>
      </c>
    </row>
    <row r="739" spans="1:6" x14ac:dyDescent="0.25">
      <c r="A739" s="18">
        <v>32</v>
      </c>
      <c r="D739" s="18"/>
      <c r="E739" s="27">
        <f>E740-E738</f>
        <v>-9.9999998928979039E-4</v>
      </c>
      <c r="F739" s="27">
        <f>F740-F738</f>
        <v>-1.0000000002037268E-3</v>
      </c>
    </row>
    <row r="740" spans="1:6" x14ac:dyDescent="0.25">
      <c r="A740" s="18"/>
      <c r="D740" s="30" t="s">
        <v>328</v>
      </c>
      <c r="E740" s="30">
        <v>114675.54300000001</v>
      </c>
      <c r="F740" s="30">
        <v>-3996.6210000000001</v>
      </c>
    </row>
    <row r="741" spans="1:6" x14ac:dyDescent="0.25">
      <c r="A741" s="18"/>
      <c r="D741" s="18"/>
      <c r="E741" s="18"/>
      <c r="F741" s="18"/>
    </row>
    <row r="742" spans="1:6" x14ac:dyDescent="0.25">
      <c r="A742" s="48" t="s">
        <v>194</v>
      </c>
      <c r="D742" s="30" t="s">
        <v>108</v>
      </c>
      <c r="E742" s="30">
        <v>114675.54300000001</v>
      </c>
      <c r="F742" s="30">
        <v>-3996.6210000000001</v>
      </c>
    </row>
    <row r="743" spans="1:6" x14ac:dyDescent="0.25">
      <c r="A743" s="45" t="s">
        <v>182</v>
      </c>
      <c r="B743" s="27">
        <f>E745-E742</f>
        <v>4.3769999999931315</v>
      </c>
      <c r="C743" s="27">
        <f>F745-F742</f>
        <v>-13.748999999999796</v>
      </c>
      <c r="D743" s="18" t="s">
        <v>89</v>
      </c>
      <c r="E743" s="18">
        <v>114679.928</v>
      </c>
      <c r="F743" s="27">
        <v>-4010.3829999999998</v>
      </c>
    </row>
    <row r="744" spans="1:6" x14ac:dyDescent="0.25">
      <c r="A744" s="39">
        <v>14.43</v>
      </c>
      <c r="D744" s="18"/>
      <c r="E744" s="27">
        <f>E745-E743</f>
        <v>-8.0000000016298145E-3</v>
      </c>
      <c r="F744" s="27">
        <f>F745-F743</f>
        <v>1.2999999999919964E-2</v>
      </c>
    </row>
    <row r="745" spans="1:6" x14ac:dyDescent="0.25">
      <c r="A745" s="39"/>
      <c r="D745" s="30" t="s">
        <v>328</v>
      </c>
      <c r="E745" s="30">
        <v>114679.92</v>
      </c>
      <c r="F745" s="30">
        <v>-4010.37</v>
      </c>
    </row>
    <row r="746" spans="1:6" x14ac:dyDescent="0.25">
      <c r="A746" s="35"/>
      <c r="D746" s="18"/>
      <c r="E746" s="18"/>
      <c r="F746" s="18"/>
    </row>
    <row r="747" spans="1:6" x14ac:dyDescent="0.25">
      <c r="A747" s="48" t="s">
        <v>195</v>
      </c>
      <c r="D747" s="18" t="s">
        <v>89</v>
      </c>
      <c r="E747" s="18">
        <v>114679.92</v>
      </c>
      <c r="F747" s="18">
        <v>-4010.37</v>
      </c>
    </row>
    <row r="748" spans="1:6" x14ac:dyDescent="0.25">
      <c r="A748" s="45" t="s">
        <v>182</v>
      </c>
      <c r="B748" s="27">
        <f>E750-E747</f>
        <v>4.3899999999994179</v>
      </c>
      <c r="C748" s="27">
        <f>F750-F747</f>
        <v>-13.75</v>
      </c>
      <c r="D748" s="18" t="s">
        <v>90</v>
      </c>
      <c r="E748" s="18">
        <v>114684.314</v>
      </c>
      <c r="F748" s="27">
        <v>-4024.127</v>
      </c>
    </row>
    <row r="749" spans="1:6" x14ac:dyDescent="0.25">
      <c r="A749" s="39">
        <v>14.43</v>
      </c>
      <c r="D749" s="18"/>
      <c r="E749" s="27">
        <f>E750-E748</f>
        <v>-4.0000000008149073E-3</v>
      </c>
      <c r="F749" s="27">
        <f>F750-F748</f>
        <v>7.0000000000618456E-3</v>
      </c>
    </row>
    <row r="750" spans="1:6" x14ac:dyDescent="0.25">
      <c r="A750" s="39"/>
      <c r="D750" s="30" t="s">
        <v>328</v>
      </c>
      <c r="E750" s="38">
        <v>114684.31</v>
      </c>
      <c r="F750" s="74">
        <v>-4024.12</v>
      </c>
    </row>
    <row r="751" spans="1:6" x14ac:dyDescent="0.25">
      <c r="A751" s="35"/>
      <c r="D751" s="18"/>
      <c r="E751" s="18"/>
      <c r="F751" s="18"/>
    </row>
    <row r="752" spans="1:6" x14ac:dyDescent="0.25">
      <c r="A752" s="48" t="s">
        <v>196</v>
      </c>
      <c r="D752" s="18" t="s">
        <v>90</v>
      </c>
      <c r="E752" s="35">
        <v>114684.31</v>
      </c>
      <c r="F752" s="47">
        <v>-4024.12</v>
      </c>
    </row>
    <row r="753" spans="1:6" x14ac:dyDescent="0.25">
      <c r="A753" s="45" t="s">
        <v>182</v>
      </c>
      <c r="B753" s="27">
        <f>E755-E752</f>
        <v>4.3800000000046566</v>
      </c>
      <c r="C753" s="27">
        <f>F755-F752</f>
        <v>-13.740000000000236</v>
      </c>
      <c r="D753" s="18" t="s">
        <v>91</v>
      </c>
      <c r="E753" s="18">
        <v>114688.693</v>
      </c>
      <c r="F753" s="27">
        <v>-4037.873</v>
      </c>
    </row>
    <row r="754" spans="1:6" x14ac:dyDescent="0.25">
      <c r="A754" s="39">
        <v>14.43</v>
      </c>
      <c r="D754" s="18"/>
      <c r="E754" s="27">
        <f>E755-E753</f>
        <v>-2.9999999969732016E-3</v>
      </c>
      <c r="F754" s="27">
        <f>F755-F753</f>
        <v>1.2999999999919964E-2</v>
      </c>
    </row>
    <row r="755" spans="1:6" x14ac:dyDescent="0.25">
      <c r="A755" s="39"/>
      <c r="D755" s="30" t="s">
        <v>328</v>
      </c>
      <c r="E755" s="38">
        <v>114688.69</v>
      </c>
      <c r="F755" s="74">
        <v>-4037.86</v>
      </c>
    </row>
    <row r="756" spans="1:6" x14ac:dyDescent="0.25">
      <c r="A756" s="35"/>
      <c r="D756" s="18"/>
      <c r="E756" s="18"/>
      <c r="F756" s="18"/>
    </row>
    <row r="757" spans="1:6" x14ac:dyDescent="0.25">
      <c r="A757" s="48" t="s">
        <v>197</v>
      </c>
      <c r="D757" s="18" t="s">
        <v>91</v>
      </c>
      <c r="E757" s="35">
        <v>114688.69</v>
      </c>
      <c r="F757" s="47">
        <v>-4037.86</v>
      </c>
    </row>
    <row r="758" spans="1:6" x14ac:dyDescent="0.25">
      <c r="A758" s="45" t="s">
        <v>182</v>
      </c>
      <c r="B758" s="27">
        <f>E760-E757</f>
        <v>4.3800000000046566</v>
      </c>
      <c r="C758" s="27">
        <f>F760-F757</f>
        <v>-13.75</v>
      </c>
      <c r="D758" s="18" t="s">
        <v>92</v>
      </c>
      <c r="E758" s="18">
        <v>114693.054</v>
      </c>
      <c r="F758" s="27">
        <v>-4051.616</v>
      </c>
    </row>
    <row r="759" spans="1:6" x14ac:dyDescent="0.25">
      <c r="A759" s="39">
        <v>14.43</v>
      </c>
      <c r="D759" s="18"/>
      <c r="E759" s="27">
        <f>E760-E758</f>
        <v>1.6000000003259629E-2</v>
      </c>
      <c r="F759" s="27">
        <f>F760-F758</f>
        <v>5.9999999998581188E-3</v>
      </c>
    </row>
    <row r="760" spans="1:6" x14ac:dyDescent="0.25">
      <c r="A760" s="39"/>
      <c r="D760" s="30" t="s">
        <v>328</v>
      </c>
      <c r="E760" s="38">
        <v>114693.07</v>
      </c>
      <c r="F760" s="74">
        <v>-4051.61</v>
      </c>
    </row>
    <row r="761" spans="1:6" x14ac:dyDescent="0.25">
      <c r="A761" s="18"/>
      <c r="D761" s="18"/>
      <c r="E761" s="18"/>
      <c r="F761" s="18"/>
    </row>
    <row r="762" spans="1:6" x14ac:dyDescent="0.25">
      <c r="A762" s="48" t="s">
        <v>198</v>
      </c>
      <c r="D762" s="18" t="s">
        <v>92</v>
      </c>
      <c r="E762" s="35">
        <v>114693.07</v>
      </c>
      <c r="F762" s="47">
        <v>-4051.61</v>
      </c>
    </row>
    <row r="763" spans="1:6" x14ac:dyDescent="0.25">
      <c r="A763" s="45" t="s">
        <v>182</v>
      </c>
      <c r="B763" s="18">
        <f>E765-E762</f>
        <v>4.7399999999906868</v>
      </c>
      <c r="C763" s="18">
        <f>F765-F762</f>
        <v>-14.879999999999654</v>
      </c>
      <c r="D763" s="18" t="s">
        <v>93</v>
      </c>
      <c r="E763" s="18">
        <v>114697.81</v>
      </c>
      <c r="F763" s="18">
        <v>-4066.49</v>
      </c>
    </row>
    <row r="764" spans="1:6" x14ac:dyDescent="0.25">
      <c r="A764" s="39">
        <v>15.62</v>
      </c>
      <c r="D764" s="18"/>
      <c r="E764" s="27">
        <f>E765-E763</f>
        <v>0</v>
      </c>
      <c r="F764" s="27">
        <f>F765-F763</f>
        <v>0</v>
      </c>
    </row>
    <row r="765" spans="1:6" x14ac:dyDescent="0.25">
      <c r="A765" s="39"/>
      <c r="D765" s="30" t="s">
        <v>328</v>
      </c>
      <c r="E765" s="38">
        <v>114697.81</v>
      </c>
      <c r="F765" s="38">
        <v>-4066.49</v>
      </c>
    </row>
    <row r="766" spans="1:6" x14ac:dyDescent="0.25">
      <c r="A766" s="35"/>
      <c r="D766" s="18"/>
      <c r="E766" s="18"/>
      <c r="F766" s="18"/>
    </row>
    <row r="767" spans="1:6" x14ac:dyDescent="0.25">
      <c r="A767" s="48" t="s">
        <v>199</v>
      </c>
      <c r="D767" s="18" t="s">
        <v>93</v>
      </c>
      <c r="E767" s="35">
        <v>114697.81</v>
      </c>
      <c r="F767" s="35">
        <v>-4066.49</v>
      </c>
    </row>
    <row r="768" spans="1:6" x14ac:dyDescent="0.25">
      <c r="A768" s="45" t="s">
        <v>182</v>
      </c>
      <c r="B768" s="27">
        <f>E770-E767</f>
        <v>2.3680000000022119</v>
      </c>
      <c r="C768" s="27">
        <f>F770-F767</f>
        <v>-7.4329999999999927</v>
      </c>
      <c r="D768" s="18" t="s">
        <v>200</v>
      </c>
      <c r="E768" s="39">
        <v>114700.178</v>
      </c>
      <c r="F768" s="39">
        <v>-4073.9229999999998</v>
      </c>
    </row>
    <row r="769" spans="1:6" x14ac:dyDescent="0.25">
      <c r="A769" s="39">
        <v>7.8</v>
      </c>
      <c r="D769" s="18"/>
      <c r="E769" s="27">
        <f>E770-E768</f>
        <v>0</v>
      </c>
      <c r="F769" s="27">
        <f>F770-F768</f>
        <v>0</v>
      </c>
    </row>
    <row r="770" spans="1:6" x14ac:dyDescent="0.25">
      <c r="A770" s="39"/>
      <c r="D770" s="30" t="s">
        <v>328</v>
      </c>
      <c r="E770" s="44">
        <v>114700.178</v>
      </c>
      <c r="F770" s="44">
        <v>-4073.9229999999998</v>
      </c>
    </row>
    <row r="771" spans="1:6" x14ac:dyDescent="0.25">
      <c r="A771" s="35"/>
      <c r="D771" s="18"/>
      <c r="E771" s="18"/>
      <c r="F771" s="18"/>
    </row>
    <row r="772" spans="1:6" x14ac:dyDescent="0.25">
      <c r="A772" s="48" t="s">
        <v>201</v>
      </c>
      <c r="D772" s="18" t="s">
        <v>200</v>
      </c>
      <c r="E772" s="39">
        <v>114700.178</v>
      </c>
      <c r="F772" s="39">
        <v>-4073.9229999999998</v>
      </c>
    </row>
    <row r="773" spans="1:6" x14ac:dyDescent="0.25">
      <c r="A773" s="45" t="s">
        <v>182</v>
      </c>
      <c r="B773" s="27">
        <f>E775-E772</f>
        <v>1.8220000000001164</v>
      </c>
      <c r="C773" s="27">
        <f>F775-F772</f>
        <v>-5.7170000000000982</v>
      </c>
      <c r="D773" s="18" t="s">
        <v>111</v>
      </c>
      <c r="E773" s="39">
        <v>114702</v>
      </c>
      <c r="F773" s="35">
        <v>-4079.64</v>
      </c>
    </row>
    <row r="774" spans="1:6" x14ac:dyDescent="0.25">
      <c r="A774" s="39">
        <v>6</v>
      </c>
      <c r="D774" s="18"/>
      <c r="E774" s="27">
        <f>E775-E773</f>
        <v>0</v>
      </c>
      <c r="F774" s="18">
        <f>F775-F773</f>
        <v>0</v>
      </c>
    </row>
    <row r="775" spans="1:6" x14ac:dyDescent="0.25">
      <c r="A775" s="39"/>
      <c r="D775" s="30" t="s">
        <v>328</v>
      </c>
      <c r="E775" s="44">
        <v>114702</v>
      </c>
      <c r="F775" s="38">
        <v>-4079.64</v>
      </c>
    </row>
    <row r="776" spans="1:6" x14ac:dyDescent="0.25">
      <c r="A776" s="18"/>
      <c r="D776" s="18"/>
      <c r="E776" s="18"/>
      <c r="F776" s="18"/>
    </row>
    <row r="777" spans="1:6" x14ac:dyDescent="0.25">
      <c r="A777" s="48" t="s">
        <v>202</v>
      </c>
      <c r="D777" s="18" t="s">
        <v>111</v>
      </c>
      <c r="E777" s="39">
        <v>114702</v>
      </c>
      <c r="F777" s="35">
        <v>-4079.64</v>
      </c>
    </row>
    <row r="778" spans="1:6" x14ac:dyDescent="0.25">
      <c r="A778" s="45" t="s">
        <v>181</v>
      </c>
      <c r="B778" s="27">
        <f>E780-E777</f>
        <v>-5.7309999999997672</v>
      </c>
      <c r="C778" s="27">
        <f>F780-F777</f>
        <v>-1.7750000000000909</v>
      </c>
      <c r="D778" s="18" t="s">
        <v>203</v>
      </c>
      <c r="E778" s="39">
        <v>114696.269</v>
      </c>
      <c r="F778" s="39">
        <v>-4081.415</v>
      </c>
    </row>
    <row r="779" spans="1:6" x14ac:dyDescent="0.25">
      <c r="A779" s="39">
        <v>6</v>
      </c>
      <c r="D779" s="18"/>
      <c r="E779" s="27">
        <f>E780-E778</f>
        <v>0</v>
      </c>
      <c r="F779" s="27">
        <f>F780-F778</f>
        <v>0</v>
      </c>
    </row>
    <row r="780" spans="1:6" x14ac:dyDescent="0.25">
      <c r="A780" s="39"/>
      <c r="D780" s="30" t="s">
        <v>328</v>
      </c>
      <c r="E780" s="44">
        <v>114696.269</v>
      </c>
      <c r="F780" s="44">
        <v>-4081.415</v>
      </c>
    </row>
    <row r="781" spans="1:6" x14ac:dyDescent="0.25">
      <c r="A781" s="35"/>
      <c r="D781" s="18"/>
      <c r="E781" s="18"/>
      <c r="F781" s="18"/>
    </row>
    <row r="782" spans="1:6" x14ac:dyDescent="0.25">
      <c r="A782" s="48" t="s">
        <v>204</v>
      </c>
      <c r="D782" s="18" t="s">
        <v>203</v>
      </c>
      <c r="E782" s="39">
        <v>114696.269</v>
      </c>
      <c r="F782" s="39">
        <v>-4081.415</v>
      </c>
    </row>
    <row r="783" spans="1:6" x14ac:dyDescent="0.25">
      <c r="A783" s="45" t="s">
        <v>181</v>
      </c>
      <c r="B783" s="27">
        <f>E785-E782</f>
        <v>-29.135999999998603</v>
      </c>
      <c r="C783" s="27">
        <f>F785-F782</f>
        <v>-9.0250000000000909</v>
      </c>
      <c r="D783" s="18" t="s">
        <v>97</v>
      </c>
      <c r="E783" s="39">
        <v>114667.132</v>
      </c>
      <c r="F783" s="35">
        <v>-4090.4690000000001</v>
      </c>
    </row>
    <row r="784" spans="1:6" x14ac:dyDescent="0.25">
      <c r="A784" s="39">
        <v>30.5</v>
      </c>
      <c r="D784" s="18"/>
      <c r="E784" s="27">
        <f>E785-E783</f>
        <v>1.0000000038417056E-3</v>
      </c>
      <c r="F784" s="27">
        <f>F785-F783</f>
        <v>2.8999999999996362E-2</v>
      </c>
    </row>
    <row r="785" spans="1:6" x14ac:dyDescent="0.25">
      <c r="A785" s="18"/>
      <c r="D785" s="30" t="s">
        <v>328</v>
      </c>
      <c r="E785" s="44">
        <v>114667.133</v>
      </c>
      <c r="F785" s="38">
        <v>-4090.44</v>
      </c>
    </row>
  </sheetData>
  <mergeCells count="1">
    <mergeCell ref="C6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216C-07DE-42DC-8588-B9F88024FD68}">
  <dimension ref="A1:M158"/>
  <sheetViews>
    <sheetView workbookViewId="0">
      <selection activeCell="D13" sqref="D13"/>
    </sheetView>
  </sheetViews>
  <sheetFormatPr defaultRowHeight="15.75" x14ac:dyDescent="0.25"/>
  <cols>
    <col min="1" max="1" width="9.140625" style="51"/>
    <col min="2" max="2" width="9.7109375" style="54" customWidth="1"/>
    <col min="3" max="3" width="15.85546875" style="54" customWidth="1"/>
    <col min="4" max="4" width="16" style="54" customWidth="1"/>
    <col min="5" max="5" width="11.28515625" style="54" customWidth="1"/>
    <col min="6" max="6" width="12.5703125" style="59" customWidth="1"/>
    <col min="7" max="7" width="9.5703125" style="54" customWidth="1"/>
    <col min="8" max="8" width="9.140625" style="54"/>
    <col min="9" max="9" width="6.42578125" style="54" bestFit="1" customWidth="1"/>
    <col min="10" max="10" width="11" style="54" bestFit="1" customWidth="1"/>
    <col min="11" max="257" width="9.140625" style="54"/>
    <col min="258" max="258" width="9.7109375" style="54" customWidth="1"/>
    <col min="259" max="259" width="15.85546875" style="54" customWidth="1"/>
    <col min="260" max="260" width="16" style="54" customWidth="1"/>
    <col min="261" max="261" width="11.28515625" style="54" customWidth="1"/>
    <col min="262" max="262" width="12.5703125" style="54" customWidth="1"/>
    <col min="263" max="263" width="9.5703125" style="54" customWidth="1"/>
    <col min="264" max="264" width="9.140625" style="54"/>
    <col min="265" max="265" width="6.42578125" style="54" bestFit="1" customWidth="1"/>
    <col min="266" max="266" width="11" style="54" bestFit="1" customWidth="1"/>
    <col min="267" max="513" width="9.140625" style="54"/>
    <col min="514" max="514" width="9.7109375" style="54" customWidth="1"/>
    <col min="515" max="515" width="15.85546875" style="54" customWidth="1"/>
    <col min="516" max="516" width="16" style="54" customWidth="1"/>
    <col min="517" max="517" width="11.28515625" style="54" customWidth="1"/>
    <col min="518" max="518" width="12.5703125" style="54" customWidth="1"/>
    <col min="519" max="519" width="9.5703125" style="54" customWidth="1"/>
    <col min="520" max="520" width="9.140625" style="54"/>
    <col min="521" max="521" width="6.42578125" style="54" bestFit="1" customWidth="1"/>
    <col min="522" max="522" width="11" style="54" bestFit="1" customWidth="1"/>
    <col min="523" max="769" width="9.140625" style="54"/>
    <col min="770" max="770" width="9.7109375" style="54" customWidth="1"/>
    <col min="771" max="771" width="15.85546875" style="54" customWidth="1"/>
    <col min="772" max="772" width="16" style="54" customWidth="1"/>
    <col min="773" max="773" width="11.28515625" style="54" customWidth="1"/>
    <col min="774" max="774" width="12.5703125" style="54" customWidth="1"/>
    <col min="775" max="775" width="9.5703125" style="54" customWidth="1"/>
    <col min="776" max="776" width="9.140625" style="54"/>
    <col min="777" max="777" width="6.42578125" style="54" bestFit="1" customWidth="1"/>
    <col min="778" max="778" width="11" style="54" bestFit="1" customWidth="1"/>
    <col min="779" max="1025" width="9.140625" style="54"/>
    <col min="1026" max="1026" width="9.7109375" style="54" customWidth="1"/>
    <col min="1027" max="1027" width="15.85546875" style="54" customWidth="1"/>
    <col min="1028" max="1028" width="16" style="54" customWidth="1"/>
    <col min="1029" max="1029" width="11.28515625" style="54" customWidth="1"/>
    <col min="1030" max="1030" width="12.5703125" style="54" customWidth="1"/>
    <col min="1031" max="1031" width="9.5703125" style="54" customWidth="1"/>
    <col min="1032" max="1032" width="9.140625" style="54"/>
    <col min="1033" max="1033" width="6.42578125" style="54" bestFit="1" customWidth="1"/>
    <col min="1034" max="1034" width="11" style="54" bestFit="1" customWidth="1"/>
    <col min="1035" max="1281" width="9.140625" style="54"/>
    <col min="1282" max="1282" width="9.7109375" style="54" customWidth="1"/>
    <col min="1283" max="1283" width="15.85546875" style="54" customWidth="1"/>
    <col min="1284" max="1284" width="16" style="54" customWidth="1"/>
    <col min="1285" max="1285" width="11.28515625" style="54" customWidth="1"/>
    <col min="1286" max="1286" width="12.5703125" style="54" customWidth="1"/>
    <col min="1287" max="1287" width="9.5703125" style="54" customWidth="1"/>
    <col min="1288" max="1288" width="9.140625" style="54"/>
    <col min="1289" max="1289" width="6.42578125" style="54" bestFit="1" customWidth="1"/>
    <col min="1290" max="1290" width="11" style="54" bestFit="1" customWidth="1"/>
    <col min="1291" max="1537" width="9.140625" style="54"/>
    <col min="1538" max="1538" width="9.7109375" style="54" customWidth="1"/>
    <col min="1539" max="1539" width="15.85546875" style="54" customWidth="1"/>
    <col min="1540" max="1540" width="16" style="54" customWidth="1"/>
    <col min="1541" max="1541" width="11.28515625" style="54" customWidth="1"/>
    <col min="1542" max="1542" width="12.5703125" style="54" customWidth="1"/>
    <col min="1543" max="1543" width="9.5703125" style="54" customWidth="1"/>
    <col min="1544" max="1544" width="9.140625" style="54"/>
    <col min="1545" max="1545" width="6.42578125" style="54" bestFit="1" customWidth="1"/>
    <col min="1546" max="1546" width="11" style="54" bestFit="1" customWidth="1"/>
    <col min="1547" max="1793" width="9.140625" style="54"/>
    <col min="1794" max="1794" width="9.7109375" style="54" customWidth="1"/>
    <col min="1795" max="1795" width="15.85546875" style="54" customWidth="1"/>
    <col min="1796" max="1796" width="16" style="54" customWidth="1"/>
    <col min="1797" max="1797" width="11.28515625" style="54" customWidth="1"/>
    <col min="1798" max="1798" width="12.5703125" style="54" customWidth="1"/>
    <col min="1799" max="1799" width="9.5703125" style="54" customWidth="1"/>
    <col min="1800" max="1800" width="9.140625" style="54"/>
    <col min="1801" max="1801" width="6.42578125" style="54" bestFit="1" customWidth="1"/>
    <col min="1802" max="1802" width="11" style="54" bestFit="1" customWidth="1"/>
    <col min="1803" max="2049" width="9.140625" style="54"/>
    <col min="2050" max="2050" width="9.7109375" style="54" customWidth="1"/>
    <col min="2051" max="2051" width="15.85546875" style="54" customWidth="1"/>
    <col min="2052" max="2052" width="16" style="54" customWidth="1"/>
    <col min="2053" max="2053" width="11.28515625" style="54" customWidth="1"/>
    <col min="2054" max="2054" width="12.5703125" style="54" customWidth="1"/>
    <col min="2055" max="2055" width="9.5703125" style="54" customWidth="1"/>
    <col min="2056" max="2056" width="9.140625" style="54"/>
    <col min="2057" max="2057" width="6.42578125" style="54" bestFit="1" customWidth="1"/>
    <col min="2058" max="2058" width="11" style="54" bestFit="1" customWidth="1"/>
    <col min="2059" max="2305" width="9.140625" style="54"/>
    <col min="2306" max="2306" width="9.7109375" style="54" customWidth="1"/>
    <col min="2307" max="2307" width="15.85546875" style="54" customWidth="1"/>
    <col min="2308" max="2308" width="16" style="54" customWidth="1"/>
    <col min="2309" max="2309" width="11.28515625" style="54" customWidth="1"/>
    <col min="2310" max="2310" width="12.5703125" style="54" customWidth="1"/>
    <col min="2311" max="2311" width="9.5703125" style="54" customWidth="1"/>
    <col min="2312" max="2312" width="9.140625" style="54"/>
    <col min="2313" max="2313" width="6.42578125" style="54" bestFit="1" customWidth="1"/>
    <col min="2314" max="2314" width="11" style="54" bestFit="1" customWidth="1"/>
    <col min="2315" max="2561" width="9.140625" style="54"/>
    <col min="2562" max="2562" width="9.7109375" style="54" customWidth="1"/>
    <col min="2563" max="2563" width="15.85546875" style="54" customWidth="1"/>
    <col min="2564" max="2564" width="16" style="54" customWidth="1"/>
    <col min="2565" max="2565" width="11.28515625" style="54" customWidth="1"/>
    <col min="2566" max="2566" width="12.5703125" style="54" customWidth="1"/>
    <col min="2567" max="2567" width="9.5703125" style="54" customWidth="1"/>
    <col min="2568" max="2568" width="9.140625" style="54"/>
    <col min="2569" max="2569" width="6.42578125" style="54" bestFit="1" customWidth="1"/>
    <col min="2570" max="2570" width="11" style="54" bestFit="1" customWidth="1"/>
    <col min="2571" max="2817" width="9.140625" style="54"/>
    <col min="2818" max="2818" width="9.7109375" style="54" customWidth="1"/>
    <col min="2819" max="2819" width="15.85546875" style="54" customWidth="1"/>
    <col min="2820" max="2820" width="16" style="54" customWidth="1"/>
    <col min="2821" max="2821" width="11.28515625" style="54" customWidth="1"/>
    <col min="2822" max="2822" width="12.5703125" style="54" customWidth="1"/>
    <col min="2823" max="2823" width="9.5703125" style="54" customWidth="1"/>
    <col min="2824" max="2824" width="9.140625" style="54"/>
    <col min="2825" max="2825" width="6.42578125" style="54" bestFit="1" customWidth="1"/>
    <col min="2826" max="2826" width="11" style="54" bestFit="1" customWidth="1"/>
    <col min="2827" max="3073" width="9.140625" style="54"/>
    <col min="3074" max="3074" width="9.7109375" style="54" customWidth="1"/>
    <col min="3075" max="3075" width="15.85546875" style="54" customWidth="1"/>
    <col min="3076" max="3076" width="16" style="54" customWidth="1"/>
    <col min="3077" max="3077" width="11.28515625" style="54" customWidth="1"/>
    <col min="3078" max="3078" width="12.5703125" style="54" customWidth="1"/>
    <col min="3079" max="3079" width="9.5703125" style="54" customWidth="1"/>
    <col min="3080" max="3080" width="9.140625" style="54"/>
    <col min="3081" max="3081" width="6.42578125" style="54" bestFit="1" customWidth="1"/>
    <col min="3082" max="3082" width="11" style="54" bestFit="1" customWidth="1"/>
    <col min="3083" max="3329" width="9.140625" style="54"/>
    <col min="3330" max="3330" width="9.7109375" style="54" customWidth="1"/>
    <col min="3331" max="3331" width="15.85546875" style="54" customWidth="1"/>
    <col min="3332" max="3332" width="16" style="54" customWidth="1"/>
    <col min="3333" max="3333" width="11.28515625" style="54" customWidth="1"/>
    <col min="3334" max="3334" width="12.5703125" style="54" customWidth="1"/>
    <col min="3335" max="3335" width="9.5703125" style="54" customWidth="1"/>
    <col min="3336" max="3336" width="9.140625" style="54"/>
    <col min="3337" max="3337" width="6.42578125" style="54" bestFit="1" customWidth="1"/>
    <col min="3338" max="3338" width="11" style="54" bestFit="1" customWidth="1"/>
    <col min="3339" max="3585" width="9.140625" style="54"/>
    <col min="3586" max="3586" width="9.7109375" style="54" customWidth="1"/>
    <col min="3587" max="3587" width="15.85546875" style="54" customWidth="1"/>
    <col min="3588" max="3588" width="16" style="54" customWidth="1"/>
    <col min="3589" max="3589" width="11.28515625" style="54" customWidth="1"/>
    <col min="3590" max="3590" width="12.5703125" style="54" customWidth="1"/>
    <col min="3591" max="3591" width="9.5703125" style="54" customWidth="1"/>
    <col min="3592" max="3592" width="9.140625" style="54"/>
    <col min="3593" max="3593" width="6.42578125" style="54" bestFit="1" customWidth="1"/>
    <col min="3594" max="3594" width="11" style="54" bestFit="1" customWidth="1"/>
    <col min="3595" max="3841" width="9.140625" style="54"/>
    <col min="3842" max="3842" width="9.7109375" style="54" customWidth="1"/>
    <col min="3843" max="3843" width="15.85546875" style="54" customWidth="1"/>
    <col min="3844" max="3844" width="16" style="54" customWidth="1"/>
    <col min="3845" max="3845" width="11.28515625" style="54" customWidth="1"/>
    <col min="3846" max="3846" width="12.5703125" style="54" customWidth="1"/>
    <col min="3847" max="3847" width="9.5703125" style="54" customWidth="1"/>
    <col min="3848" max="3848" width="9.140625" style="54"/>
    <col min="3849" max="3849" width="6.42578125" style="54" bestFit="1" customWidth="1"/>
    <col min="3850" max="3850" width="11" style="54" bestFit="1" customWidth="1"/>
    <col min="3851" max="4097" width="9.140625" style="54"/>
    <col min="4098" max="4098" width="9.7109375" style="54" customWidth="1"/>
    <col min="4099" max="4099" width="15.85546875" style="54" customWidth="1"/>
    <col min="4100" max="4100" width="16" style="54" customWidth="1"/>
    <col min="4101" max="4101" width="11.28515625" style="54" customWidth="1"/>
    <col min="4102" max="4102" width="12.5703125" style="54" customWidth="1"/>
    <col min="4103" max="4103" width="9.5703125" style="54" customWidth="1"/>
    <col min="4104" max="4104" width="9.140625" style="54"/>
    <col min="4105" max="4105" width="6.42578125" style="54" bestFit="1" customWidth="1"/>
    <col min="4106" max="4106" width="11" style="54" bestFit="1" customWidth="1"/>
    <col min="4107" max="4353" width="9.140625" style="54"/>
    <col min="4354" max="4354" width="9.7109375" style="54" customWidth="1"/>
    <col min="4355" max="4355" width="15.85546875" style="54" customWidth="1"/>
    <col min="4356" max="4356" width="16" style="54" customWidth="1"/>
    <col min="4357" max="4357" width="11.28515625" style="54" customWidth="1"/>
    <col min="4358" max="4358" width="12.5703125" style="54" customWidth="1"/>
    <col min="4359" max="4359" width="9.5703125" style="54" customWidth="1"/>
    <col min="4360" max="4360" width="9.140625" style="54"/>
    <col min="4361" max="4361" width="6.42578125" style="54" bestFit="1" customWidth="1"/>
    <col min="4362" max="4362" width="11" style="54" bestFit="1" customWidth="1"/>
    <col min="4363" max="4609" width="9.140625" style="54"/>
    <col min="4610" max="4610" width="9.7109375" style="54" customWidth="1"/>
    <col min="4611" max="4611" width="15.85546875" style="54" customWidth="1"/>
    <col min="4612" max="4612" width="16" style="54" customWidth="1"/>
    <col min="4613" max="4613" width="11.28515625" style="54" customWidth="1"/>
    <col min="4614" max="4614" width="12.5703125" style="54" customWidth="1"/>
    <col min="4615" max="4615" width="9.5703125" style="54" customWidth="1"/>
    <col min="4616" max="4616" width="9.140625" style="54"/>
    <col min="4617" max="4617" width="6.42578125" style="54" bestFit="1" customWidth="1"/>
    <col min="4618" max="4618" width="11" style="54" bestFit="1" customWidth="1"/>
    <col min="4619" max="4865" width="9.140625" style="54"/>
    <col min="4866" max="4866" width="9.7109375" style="54" customWidth="1"/>
    <col min="4867" max="4867" width="15.85546875" style="54" customWidth="1"/>
    <col min="4868" max="4868" width="16" style="54" customWidth="1"/>
    <col min="4869" max="4869" width="11.28515625" style="54" customWidth="1"/>
    <col min="4870" max="4870" width="12.5703125" style="54" customWidth="1"/>
    <col min="4871" max="4871" width="9.5703125" style="54" customWidth="1"/>
    <col min="4872" max="4872" width="9.140625" style="54"/>
    <col min="4873" max="4873" width="6.42578125" style="54" bestFit="1" customWidth="1"/>
    <col min="4874" max="4874" width="11" style="54" bestFit="1" customWidth="1"/>
    <col min="4875" max="5121" width="9.140625" style="54"/>
    <col min="5122" max="5122" width="9.7109375" style="54" customWidth="1"/>
    <col min="5123" max="5123" width="15.85546875" style="54" customWidth="1"/>
    <col min="5124" max="5124" width="16" style="54" customWidth="1"/>
    <col min="5125" max="5125" width="11.28515625" style="54" customWidth="1"/>
    <col min="5126" max="5126" width="12.5703125" style="54" customWidth="1"/>
    <col min="5127" max="5127" width="9.5703125" style="54" customWidth="1"/>
    <col min="5128" max="5128" width="9.140625" style="54"/>
    <col min="5129" max="5129" width="6.42578125" style="54" bestFit="1" customWidth="1"/>
    <col min="5130" max="5130" width="11" style="54" bestFit="1" customWidth="1"/>
    <col min="5131" max="5377" width="9.140625" style="54"/>
    <col min="5378" max="5378" width="9.7109375" style="54" customWidth="1"/>
    <col min="5379" max="5379" width="15.85546875" style="54" customWidth="1"/>
    <col min="5380" max="5380" width="16" style="54" customWidth="1"/>
    <col min="5381" max="5381" width="11.28515625" style="54" customWidth="1"/>
    <col min="5382" max="5382" width="12.5703125" style="54" customWidth="1"/>
    <col min="5383" max="5383" width="9.5703125" style="54" customWidth="1"/>
    <col min="5384" max="5384" width="9.140625" style="54"/>
    <col min="5385" max="5385" width="6.42578125" style="54" bestFit="1" customWidth="1"/>
    <col min="5386" max="5386" width="11" style="54" bestFit="1" customWidth="1"/>
    <col min="5387" max="5633" width="9.140625" style="54"/>
    <col min="5634" max="5634" width="9.7109375" style="54" customWidth="1"/>
    <col min="5635" max="5635" width="15.85546875" style="54" customWidth="1"/>
    <col min="5636" max="5636" width="16" style="54" customWidth="1"/>
    <col min="5637" max="5637" width="11.28515625" style="54" customWidth="1"/>
    <col min="5638" max="5638" width="12.5703125" style="54" customWidth="1"/>
    <col min="5639" max="5639" width="9.5703125" style="54" customWidth="1"/>
    <col min="5640" max="5640" width="9.140625" style="54"/>
    <col min="5641" max="5641" width="6.42578125" style="54" bestFit="1" customWidth="1"/>
    <col min="5642" max="5642" width="11" style="54" bestFit="1" customWidth="1"/>
    <col min="5643" max="5889" width="9.140625" style="54"/>
    <col min="5890" max="5890" width="9.7109375" style="54" customWidth="1"/>
    <col min="5891" max="5891" width="15.85546875" style="54" customWidth="1"/>
    <col min="5892" max="5892" width="16" style="54" customWidth="1"/>
    <col min="5893" max="5893" width="11.28515625" style="54" customWidth="1"/>
    <col min="5894" max="5894" width="12.5703125" style="54" customWidth="1"/>
    <col min="5895" max="5895" width="9.5703125" style="54" customWidth="1"/>
    <col min="5896" max="5896" width="9.140625" style="54"/>
    <col min="5897" max="5897" width="6.42578125" style="54" bestFit="1" customWidth="1"/>
    <col min="5898" max="5898" width="11" style="54" bestFit="1" customWidth="1"/>
    <col min="5899" max="6145" width="9.140625" style="54"/>
    <col min="6146" max="6146" width="9.7109375" style="54" customWidth="1"/>
    <col min="6147" max="6147" width="15.85546875" style="54" customWidth="1"/>
    <col min="6148" max="6148" width="16" style="54" customWidth="1"/>
    <col min="6149" max="6149" width="11.28515625" style="54" customWidth="1"/>
    <col min="6150" max="6150" width="12.5703125" style="54" customWidth="1"/>
    <col min="6151" max="6151" width="9.5703125" style="54" customWidth="1"/>
    <col min="6152" max="6152" width="9.140625" style="54"/>
    <col min="6153" max="6153" width="6.42578125" style="54" bestFit="1" customWidth="1"/>
    <col min="6154" max="6154" width="11" style="54" bestFit="1" customWidth="1"/>
    <col min="6155" max="6401" width="9.140625" style="54"/>
    <col min="6402" max="6402" width="9.7109375" style="54" customWidth="1"/>
    <col min="6403" max="6403" width="15.85546875" style="54" customWidth="1"/>
    <col min="6404" max="6404" width="16" style="54" customWidth="1"/>
    <col min="6405" max="6405" width="11.28515625" style="54" customWidth="1"/>
    <col min="6406" max="6406" width="12.5703125" style="54" customWidth="1"/>
    <col min="6407" max="6407" width="9.5703125" style="54" customWidth="1"/>
    <col min="6408" max="6408" width="9.140625" style="54"/>
    <col min="6409" max="6409" width="6.42578125" style="54" bestFit="1" customWidth="1"/>
    <col min="6410" max="6410" width="11" style="54" bestFit="1" customWidth="1"/>
    <col min="6411" max="6657" width="9.140625" style="54"/>
    <col min="6658" max="6658" width="9.7109375" style="54" customWidth="1"/>
    <col min="6659" max="6659" width="15.85546875" style="54" customWidth="1"/>
    <col min="6660" max="6660" width="16" style="54" customWidth="1"/>
    <col min="6661" max="6661" width="11.28515625" style="54" customWidth="1"/>
    <col min="6662" max="6662" width="12.5703125" style="54" customWidth="1"/>
    <col min="6663" max="6663" width="9.5703125" style="54" customWidth="1"/>
    <col min="6664" max="6664" width="9.140625" style="54"/>
    <col min="6665" max="6665" width="6.42578125" style="54" bestFit="1" customWidth="1"/>
    <col min="6666" max="6666" width="11" style="54" bestFit="1" customWidth="1"/>
    <col min="6667" max="6913" width="9.140625" style="54"/>
    <col min="6914" max="6914" width="9.7109375" style="54" customWidth="1"/>
    <col min="6915" max="6915" width="15.85546875" style="54" customWidth="1"/>
    <col min="6916" max="6916" width="16" style="54" customWidth="1"/>
    <col min="6917" max="6917" width="11.28515625" style="54" customWidth="1"/>
    <col min="6918" max="6918" width="12.5703125" style="54" customWidth="1"/>
    <col min="6919" max="6919" width="9.5703125" style="54" customWidth="1"/>
    <col min="6920" max="6920" width="9.140625" style="54"/>
    <col min="6921" max="6921" width="6.42578125" style="54" bestFit="1" customWidth="1"/>
    <col min="6922" max="6922" width="11" style="54" bestFit="1" customWidth="1"/>
    <col min="6923" max="7169" width="9.140625" style="54"/>
    <col min="7170" max="7170" width="9.7109375" style="54" customWidth="1"/>
    <col min="7171" max="7171" width="15.85546875" style="54" customWidth="1"/>
    <col min="7172" max="7172" width="16" style="54" customWidth="1"/>
    <col min="7173" max="7173" width="11.28515625" style="54" customWidth="1"/>
    <col min="7174" max="7174" width="12.5703125" style="54" customWidth="1"/>
    <col min="7175" max="7175" width="9.5703125" style="54" customWidth="1"/>
    <col min="7176" max="7176" width="9.140625" style="54"/>
    <col min="7177" max="7177" width="6.42578125" style="54" bestFit="1" customWidth="1"/>
    <col min="7178" max="7178" width="11" style="54" bestFit="1" customWidth="1"/>
    <col min="7179" max="7425" width="9.140625" style="54"/>
    <col min="7426" max="7426" width="9.7109375" style="54" customWidth="1"/>
    <col min="7427" max="7427" width="15.85546875" style="54" customWidth="1"/>
    <col min="7428" max="7428" width="16" style="54" customWidth="1"/>
    <col min="7429" max="7429" width="11.28515625" style="54" customWidth="1"/>
    <col min="7430" max="7430" width="12.5703125" style="54" customWidth="1"/>
    <col min="7431" max="7431" width="9.5703125" style="54" customWidth="1"/>
    <col min="7432" max="7432" width="9.140625" style="54"/>
    <col min="7433" max="7433" width="6.42578125" style="54" bestFit="1" customWidth="1"/>
    <col min="7434" max="7434" width="11" style="54" bestFit="1" customWidth="1"/>
    <col min="7435" max="7681" width="9.140625" style="54"/>
    <col min="7682" max="7682" width="9.7109375" style="54" customWidth="1"/>
    <col min="7683" max="7683" width="15.85546875" style="54" customWidth="1"/>
    <col min="7684" max="7684" width="16" style="54" customWidth="1"/>
    <col min="7685" max="7685" width="11.28515625" style="54" customWidth="1"/>
    <col min="7686" max="7686" width="12.5703125" style="54" customWidth="1"/>
    <col min="7687" max="7687" width="9.5703125" style="54" customWidth="1"/>
    <col min="7688" max="7688" width="9.140625" style="54"/>
    <col min="7689" max="7689" width="6.42578125" style="54" bestFit="1" customWidth="1"/>
    <col min="7690" max="7690" width="11" style="54" bestFit="1" customWidth="1"/>
    <col min="7691" max="7937" width="9.140625" style="54"/>
    <col min="7938" max="7938" width="9.7109375" style="54" customWidth="1"/>
    <col min="7939" max="7939" width="15.85546875" style="54" customWidth="1"/>
    <col min="7940" max="7940" width="16" style="54" customWidth="1"/>
    <col min="7941" max="7941" width="11.28515625" style="54" customWidth="1"/>
    <col min="7942" max="7942" width="12.5703125" style="54" customWidth="1"/>
    <col min="7943" max="7943" width="9.5703125" style="54" customWidth="1"/>
    <col min="7944" max="7944" width="9.140625" style="54"/>
    <col min="7945" max="7945" width="6.42578125" style="54" bestFit="1" customWidth="1"/>
    <col min="7946" max="7946" width="11" style="54" bestFit="1" customWidth="1"/>
    <col min="7947" max="8193" width="9.140625" style="54"/>
    <col min="8194" max="8194" width="9.7109375" style="54" customWidth="1"/>
    <col min="8195" max="8195" width="15.85546875" style="54" customWidth="1"/>
    <col min="8196" max="8196" width="16" style="54" customWidth="1"/>
    <col min="8197" max="8197" width="11.28515625" style="54" customWidth="1"/>
    <col min="8198" max="8198" width="12.5703125" style="54" customWidth="1"/>
    <col min="8199" max="8199" width="9.5703125" style="54" customWidth="1"/>
    <col min="8200" max="8200" width="9.140625" style="54"/>
    <col min="8201" max="8201" width="6.42578125" style="54" bestFit="1" customWidth="1"/>
    <col min="8202" max="8202" width="11" style="54" bestFit="1" customWidth="1"/>
    <col min="8203" max="8449" width="9.140625" style="54"/>
    <col min="8450" max="8450" width="9.7109375" style="54" customWidth="1"/>
    <col min="8451" max="8451" width="15.85546875" style="54" customWidth="1"/>
    <col min="8452" max="8452" width="16" style="54" customWidth="1"/>
    <col min="8453" max="8453" width="11.28515625" style="54" customWidth="1"/>
    <col min="8454" max="8454" width="12.5703125" style="54" customWidth="1"/>
    <col min="8455" max="8455" width="9.5703125" style="54" customWidth="1"/>
    <col min="8456" max="8456" width="9.140625" style="54"/>
    <col min="8457" max="8457" width="6.42578125" style="54" bestFit="1" customWidth="1"/>
    <col min="8458" max="8458" width="11" style="54" bestFit="1" customWidth="1"/>
    <col min="8459" max="8705" width="9.140625" style="54"/>
    <col min="8706" max="8706" width="9.7109375" style="54" customWidth="1"/>
    <col min="8707" max="8707" width="15.85546875" style="54" customWidth="1"/>
    <col min="8708" max="8708" width="16" style="54" customWidth="1"/>
    <col min="8709" max="8709" width="11.28515625" style="54" customWidth="1"/>
    <col min="8710" max="8710" width="12.5703125" style="54" customWidth="1"/>
    <col min="8711" max="8711" width="9.5703125" style="54" customWidth="1"/>
    <col min="8712" max="8712" width="9.140625" style="54"/>
    <col min="8713" max="8713" width="6.42578125" style="54" bestFit="1" customWidth="1"/>
    <col min="8714" max="8714" width="11" style="54" bestFit="1" customWidth="1"/>
    <col min="8715" max="8961" width="9.140625" style="54"/>
    <col min="8962" max="8962" width="9.7109375" style="54" customWidth="1"/>
    <col min="8963" max="8963" width="15.85546875" style="54" customWidth="1"/>
    <col min="8964" max="8964" width="16" style="54" customWidth="1"/>
    <col min="8965" max="8965" width="11.28515625" style="54" customWidth="1"/>
    <col min="8966" max="8966" width="12.5703125" style="54" customWidth="1"/>
    <col min="8967" max="8967" width="9.5703125" style="54" customWidth="1"/>
    <col min="8968" max="8968" width="9.140625" style="54"/>
    <col min="8969" max="8969" width="6.42578125" style="54" bestFit="1" customWidth="1"/>
    <col min="8970" max="8970" width="11" style="54" bestFit="1" customWidth="1"/>
    <col min="8971" max="9217" width="9.140625" style="54"/>
    <col min="9218" max="9218" width="9.7109375" style="54" customWidth="1"/>
    <col min="9219" max="9219" width="15.85546875" style="54" customWidth="1"/>
    <col min="9220" max="9220" width="16" style="54" customWidth="1"/>
    <col min="9221" max="9221" width="11.28515625" style="54" customWidth="1"/>
    <col min="9222" max="9222" width="12.5703125" style="54" customWidth="1"/>
    <col min="9223" max="9223" width="9.5703125" style="54" customWidth="1"/>
    <col min="9224" max="9224" width="9.140625" style="54"/>
    <col min="9225" max="9225" width="6.42578125" style="54" bestFit="1" customWidth="1"/>
    <col min="9226" max="9226" width="11" style="54" bestFit="1" customWidth="1"/>
    <col min="9227" max="9473" width="9.140625" style="54"/>
    <col min="9474" max="9474" width="9.7109375" style="54" customWidth="1"/>
    <col min="9475" max="9475" width="15.85546875" style="54" customWidth="1"/>
    <col min="9476" max="9476" width="16" style="54" customWidth="1"/>
    <col min="9477" max="9477" width="11.28515625" style="54" customWidth="1"/>
    <col min="9478" max="9478" width="12.5703125" style="54" customWidth="1"/>
    <col min="9479" max="9479" width="9.5703125" style="54" customWidth="1"/>
    <col min="9480" max="9480" width="9.140625" style="54"/>
    <col min="9481" max="9481" width="6.42578125" style="54" bestFit="1" customWidth="1"/>
    <col min="9482" max="9482" width="11" style="54" bestFit="1" customWidth="1"/>
    <col min="9483" max="9729" width="9.140625" style="54"/>
    <col min="9730" max="9730" width="9.7109375" style="54" customWidth="1"/>
    <col min="9731" max="9731" width="15.85546875" style="54" customWidth="1"/>
    <col min="9732" max="9732" width="16" style="54" customWidth="1"/>
    <col min="9733" max="9733" width="11.28515625" style="54" customWidth="1"/>
    <col min="9734" max="9734" width="12.5703125" style="54" customWidth="1"/>
    <col min="9735" max="9735" width="9.5703125" style="54" customWidth="1"/>
    <col min="9736" max="9736" width="9.140625" style="54"/>
    <col min="9737" max="9737" width="6.42578125" style="54" bestFit="1" customWidth="1"/>
    <col min="9738" max="9738" width="11" style="54" bestFit="1" customWidth="1"/>
    <col min="9739" max="9985" width="9.140625" style="54"/>
    <col min="9986" max="9986" width="9.7109375" style="54" customWidth="1"/>
    <col min="9987" max="9987" width="15.85546875" style="54" customWidth="1"/>
    <col min="9988" max="9988" width="16" style="54" customWidth="1"/>
    <col min="9989" max="9989" width="11.28515625" style="54" customWidth="1"/>
    <col min="9990" max="9990" width="12.5703125" style="54" customWidth="1"/>
    <col min="9991" max="9991" width="9.5703125" style="54" customWidth="1"/>
    <col min="9992" max="9992" width="9.140625" style="54"/>
    <col min="9993" max="9993" width="6.42578125" style="54" bestFit="1" customWidth="1"/>
    <col min="9994" max="9994" width="11" style="54" bestFit="1" customWidth="1"/>
    <col min="9995" max="10241" width="9.140625" style="54"/>
    <col min="10242" max="10242" width="9.7109375" style="54" customWidth="1"/>
    <col min="10243" max="10243" width="15.85546875" style="54" customWidth="1"/>
    <col min="10244" max="10244" width="16" style="54" customWidth="1"/>
    <col min="10245" max="10245" width="11.28515625" style="54" customWidth="1"/>
    <col min="10246" max="10246" width="12.5703125" style="54" customWidth="1"/>
    <col min="10247" max="10247" width="9.5703125" style="54" customWidth="1"/>
    <col min="10248" max="10248" width="9.140625" style="54"/>
    <col min="10249" max="10249" width="6.42578125" style="54" bestFit="1" customWidth="1"/>
    <col min="10250" max="10250" width="11" style="54" bestFit="1" customWidth="1"/>
    <col min="10251" max="10497" width="9.140625" style="54"/>
    <col min="10498" max="10498" width="9.7109375" style="54" customWidth="1"/>
    <col min="10499" max="10499" width="15.85546875" style="54" customWidth="1"/>
    <col min="10500" max="10500" width="16" style="54" customWidth="1"/>
    <col min="10501" max="10501" width="11.28515625" style="54" customWidth="1"/>
    <col min="10502" max="10502" width="12.5703125" style="54" customWidth="1"/>
    <col min="10503" max="10503" width="9.5703125" style="54" customWidth="1"/>
    <col min="10504" max="10504" width="9.140625" style="54"/>
    <col min="10505" max="10505" width="6.42578125" style="54" bestFit="1" customWidth="1"/>
    <col min="10506" max="10506" width="11" style="54" bestFit="1" customWidth="1"/>
    <col min="10507" max="10753" width="9.140625" style="54"/>
    <col min="10754" max="10754" width="9.7109375" style="54" customWidth="1"/>
    <col min="10755" max="10755" width="15.85546875" style="54" customWidth="1"/>
    <col min="10756" max="10756" width="16" style="54" customWidth="1"/>
    <col min="10757" max="10757" width="11.28515625" style="54" customWidth="1"/>
    <col min="10758" max="10758" width="12.5703125" style="54" customWidth="1"/>
    <col min="10759" max="10759" width="9.5703125" style="54" customWidth="1"/>
    <col min="10760" max="10760" width="9.140625" style="54"/>
    <col min="10761" max="10761" width="6.42578125" style="54" bestFit="1" customWidth="1"/>
    <col min="10762" max="10762" width="11" style="54" bestFit="1" customWidth="1"/>
    <col min="10763" max="11009" width="9.140625" style="54"/>
    <col min="11010" max="11010" width="9.7109375" style="54" customWidth="1"/>
    <col min="11011" max="11011" width="15.85546875" style="54" customWidth="1"/>
    <col min="11012" max="11012" width="16" style="54" customWidth="1"/>
    <col min="11013" max="11013" width="11.28515625" style="54" customWidth="1"/>
    <col min="11014" max="11014" width="12.5703125" style="54" customWidth="1"/>
    <col min="11015" max="11015" width="9.5703125" style="54" customWidth="1"/>
    <col min="11016" max="11016" width="9.140625" style="54"/>
    <col min="11017" max="11017" width="6.42578125" style="54" bestFit="1" customWidth="1"/>
    <col min="11018" max="11018" width="11" style="54" bestFit="1" customWidth="1"/>
    <col min="11019" max="11265" width="9.140625" style="54"/>
    <col min="11266" max="11266" width="9.7109375" style="54" customWidth="1"/>
    <col min="11267" max="11267" width="15.85546875" style="54" customWidth="1"/>
    <col min="11268" max="11268" width="16" style="54" customWidth="1"/>
    <col min="11269" max="11269" width="11.28515625" style="54" customWidth="1"/>
    <col min="11270" max="11270" width="12.5703125" style="54" customWidth="1"/>
    <col min="11271" max="11271" width="9.5703125" style="54" customWidth="1"/>
    <col min="11272" max="11272" width="9.140625" style="54"/>
    <col min="11273" max="11273" width="6.42578125" style="54" bestFit="1" customWidth="1"/>
    <col min="11274" max="11274" width="11" style="54" bestFit="1" customWidth="1"/>
    <col min="11275" max="11521" width="9.140625" style="54"/>
    <col min="11522" max="11522" width="9.7109375" style="54" customWidth="1"/>
    <col min="11523" max="11523" width="15.85546875" style="54" customWidth="1"/>
    <col min="11524" max="11524" width="16" style="54" customWidth="1"/>
    <col min="11525" max="11525" width="11.28515625" style="54" customWidth="1"/>
    <col min="11526" max="11526" width="12.5703125" style="54" customWidth="1"/>
    <col min="11527" max="11527" width="9.5703125" style="54" customWidth="1"/>
    <col min="11528" max="11528" width="9.140625" style="54"/>
    <col min="11529" max="11529" width="6.42578125" style="54" bestFit="1" customWidth="1"/>
    <col min="11530" max="11530" width="11" style="54" bestFit="1" customWidth="1"/>
    <col min="11531" max="11777" width="9.140625" style="54"/>
    <col min="11778" max="11778" width="9.7109375" style="54" customWidth="1"/>
    <col min="11779" max="11779" width="15.85546875" style="54" customWidth="1"/>
    <col min="11780" max="11780" width="16" style="54" customWidth="1"/>
    <col min="11781" max="11781" width="11.28515625" style="54" customWidth="1"/>
    <col min="11782" max="11782" width="12.5703125" style="54" customWidth="1"/>
    <col min="11783" max="11783" width="9.5703125" style="54" customWidth="1"/>
    <col min="11784" max="11784" width="9.140625" style="54"/>
    <col min="11785" max="11785" width="6.42578125" style="54" bestFit="1" customWidth="1"/>
    <col min="11786" max="11786" width="11" style="54" bestFit="1" customWidth="1"/>
    <col min="11787" max="12033" width="9.140625" style="54"/>
    <col min="12034" max="12034" width="9.7109375" style="54" customWidth="1"/>
    <col min="12035" max="12035" width="15.85546875" style="54" customWidth="1"/>
    <col min="12036" max="12036" width="16" style="54" customWidth="1"/>
    <col min="12037" max="12037" width="11.28515625" style="54" customWidth="1"/>
    <col min="12038" max="12038" width="12.5703125" style="54" customWidth="1"/>
    <col min="12039" max="12039" width="9.5703125" style="54" customWidth="1"/>
    <col min="12040" max="12040" width="9.140625" style="54"/>
    <col min="12041" max="12041" width="6.42578125" style="54" bestFit="1" customWidth="1"/>
    <col min="12042" max="12042" width="11" style="54" bestFit="1" customWidth="1"/>
    <col min="12043" max="12289" width="9.140625" style="54"/>
    <col min="12290" max="12290" width="9.7109375" style="54" customWidth="1"/>
    <col min="12291" max="12291" width="15.85546875" style="54" customWidth="1"/>
    <col min="12292" max="12292" width="16" style="54" customWidth="1"/>
    <col min="12293" max="12293" width="11.28515625" style="54" customWidth="1"/>
    <col min="12294" max="12294" width="12.5703125" style="54" customWidth="1"/>
    <col min="12295" max="12295" width="9.5703125" style="54" customWidth="1"/>
    <col min="12296" max="12296" width="9.140625" style="54"/>
    <col min="12297" max="12297" width="6.42578125" style="54" bestFit="1" customWidth="1"/>
    <col min="12298" max="12298" width="11" style="54" bestFit="1" customWidth="1"/>
    <col min="12299" max="12545" width="9.140625" style="54"/>
    <col min="12546" max="12546" width="9.7109375" style="54" customWidth="1"/>
    <col min="12547" max="12547" width="15.85546875" style="54" customWidth="1"/>
    <col min="12548" max="12548" width="16" style="54" customWidth="1"/>
    <col min="12549" max="12549" width="11.28515625" style="54" customWidth="1"/>
    <col min="12550" max="12550" width="12.5703125" style="54" customWidth="1"/>
    <col min="12551" max="12551" width="9.5703125" style="54" customWidth="1"/>
    <col min="12552" max="12552" width="9.140625" style="54"/>
    <col min="12553" max="12553" width="6.42578125" style="54" bestFit="1" customWidth="1"/>
    <col min="12554" max="12554" width="11" style="54" bestFit="1" customWidth="1"/>
    <col min="12555" max="12801" width="9.140625" style="54"/>
    <col min="12802" max="12802" width="9.7109375" style="54" customWidth="1"/>
    <col min="12803" max="12803" width="15.85546875" style="54" customWidth="1"/>
    <col min="12804" max="12804" width="16" style="54" customWidth="1"/>
    <col min="12805" max="12805" width="11.28515625" style="54" customWidth="1"/>
    <col min="12806" max="12806" width="12.5703125" style="54" customWidth="1"/>
    <col min="12807" max="12807" width="9.5703125" style="54" customWidth="1"/>
    <col min="12808" max="12808" width="9.140625" style="54"/>
    <col min="12809" max="12809" width="6.42578125" style="54" bestFit="1" customWidth="1"/>
    <col min="12810" max="12810" width="11" style="54" bestFit="1" customWidth="1"/>
    <col min="12811" max="13057" width="9.140625" style="54"/>
    <col min="13058" max="13058" width="9.7109375" style="54" customWidth="1"/>
    <col min="13059" max="13059" width="15.85546875" style="54" customWidth="1"/>
    <col min="13060" max="13060" width="16" style="54" customWidth="1"/>
    <col min="13061" max="13061" width="11.28515625" style="54" customWidth="1"/>
    <col min="13062" max="13062" width="12.5703125" style="54" customWidth="1"/>
    <col min="13063" max="13063" width="9.5703125" style="54" customWidth="1"/>
    <col min="13064" max="13064" width="9.140625" style="54"/>
    <col min="13065" max="13065" width="6.42578125" style="54" bestFit="1" customWidth="1"/>
    <col min="13066" max="13066" width="11" style="54" bestFit="1" customWidth="1"/>
    <col min="13067" max="13313" width="9.140625" style="54"/>
    <col min="13314" max="13314" width="9.7109375" style="54" customWidth="1"/>
    <col min="13315" max="13315" width="15.85546875" style="54" customWidth="1"/>
    <col min="13316" max="13316" width="16" style="54" customWidth="1"/>
    <col min="13317" max="13317" width="11.28515625" style="54" customWidth="1"/>
    <col min="13318" max="13318" width="12.5703125" style="54" customWidth="1"/>
    <col min="13319" max="13319" width="9.5703125" style="54" customWidth="1"/>
    <col min="13320" max="13320" width="9.140625" style="54"/>
    <col min="13321" max="13321" width="6.42578125" style="54" bestFit="1" customWidth="1"/>
    <col min="13322" max="13322" width="11" style="54" bestFit="1" customWidth="1"/>
    <col min="13323" max="13569" width="9.140625" style="54"/>
    <col min="13570" max="13570" width="9.7109375" style="54" customWidth="1"/>
    <col min="13571" max="13571" width="15.85546875" style="54" customWidth="1"/>
    <col min="13572" max="13572" width="16" style="54" customWidth="1"/>
    <col min="13573" max="13573" width="11.28515625" style="54" customWidth="1"/>
    <col min="13574" max="13574" width="12.5703125" style="54" customWidth="1"/>
    <col min="13575" max="13575" width="9.5703125" style="54" customWidth="1"/>
    <col min="13576" max="13576" width="9.140625" style="54"/>
    <col min="13577" max="13577" width="6.42578125" style="54" bestFit="1" customWidth="1"/>
    <col min="13578" max="13578" width="11" style="54" bestFit="1" customWidth="1"/>
    <col min="13579" max="13825" width="9.140625" style="54"/>
    <col min="13826" max="13826" width="9.7109375" style="54" customWidth="1"/>
    <col min="13827" max="13827" width="15.85546875" style="54" customWidth="1"/>
    <col min="13828" max="13828" width="16" style="54" customWidth="1"/>
    <col min="13829" max="13829" width="11.28515625" style="54" customWidth="1"/>
    <col min="13830" max="13830" width="12.5703125" style="54" customWidth="1"/>
    <col min="13831" max="13831" width="9.5703125" style="54" customWidth="1"/>
    <col min="13832" max="13832" width="9.140625" style="54"/>
    <col min="13833" max="13833" width="6.42578125" style="54" bestFit="1" customWidth="1"/>
    <col min="13834" max="13834" width="11" style="54" bestFit="1" customWidth="1"/>
    <col min="13835" max="14081" width="9.140625" style="54"/>
    <col min="14082" max="14082" width="9.7109375" style="54" customWidth="1"/>
    <col min="14083" max="14083" width="15.85546875" style="54" customWidth="1"/>
    <col min="14084" max="14084" width="16" style="54" customWidth="1"/>
    <col min="14085" max="14085" width="11.28515625" style="54" customWidth="1"/>
    <col min="14086" max="14086" width="12.5703125" style="54" customWidth="1"/>
    <col min="14087" max="14087" width="9.5703125" style="54" customWidth="1"/>
    <col min="14088" max="14088" width="9.140625" style="54"/>
    <col min="14089" max="14089" width="6.42578125" style="54" bestFit="1" customWidth="1"/>
    <col min="14090" max="14090" width="11" style="54" bestFit="1" customWidth="1"/>
    <col min="14091" max="14337" width="9.140625" style="54"/>
    <col min="14338" max="14338" width="9.7109375" style="54" customWidth="1"/>
    <col min="14339" max="14339" width="15.85546875" style="54" customWidth="1"/>
    <col min="14340" max="14340" width="16" style="54" customWidth="1"/>
    <col min="14341" max="14341" width="11.28515625" style="54" customWidth="1"/>
    <col min="14342" max="14342" width="12.5703125" style="54" customWidth="1"/>
    <col min="14343" max="14343" width="9.5703125" style="54" customWidth="1"/>
    <col min="14344" max="14344" width="9.140625" style="54"/>
    <col min="14345" max="14345" width="6.42578125" style="54" bestFit="1" customWidth="1"/>
    <col min="14346" max="14346" width="11" style="54" bestFit="1" customWidth="1"/>
    <col min="14347" max="14593" width="9.140625" style="54"/>
    <col min="14594" max="14594" width="9.7109375" style="54" customWidth="1"/>
    <col min="14595" max="14595" width="15.85546875" style="54" customWidth="1"/>
    <col min="14596" max="14596" width="16" style="54" customWidth="1"/>
    <col min="14597" max="14597" width="11.28515625" style="54" customWidth="1"/>
    <col min="14598" max="14598" width="12.5703125" style="54" customWidth="1"/>
    <col min="14599" max="14599" width="9.5703125" style="54" customWidth="1"/>
    <col min="14600" max="14600" width="9.140625" style="54"/>
    <col min="14601" max="14601" width="6.42578125" style="54" bestFit="1" customWidth="1"/>
    <col min="14602" max="14602" width="11" style="54" bestFit="1" customWidth="1"/>
    <col min="14603" max="14849" width="9.140625" style="54"/>
    <col min="14850" max="14850" width="9.7109375" style="54" customWidth="1"/>
    <col min="14851" max="14851" width="15.85546875" style="54" customWidth="1"/>
    <col min="14852" max="14852" width="16" style="54" customWidth="1"/>
    <col min="14853" max="14853" width="11.28515625" style="54" customWidth="1"/>
    <col min="14854" max="14854" width="12.5703125" style="54" customWidth="1"/>
    <col min="14855" max="14855" width="9.5703125" style="54" customWidth="1"/>
    <col min="14856" max="14856" width="9.140625" style="54"/>
    <col min="14857" max="14857" width="6.42578125" style="54" bestFit="1" customWidth="1"/>
    <col min="14858" max="14858" width="11" style="54" bestFit="1" customWidth="1"/>
    <col min="14859" max="15105" width="9.140625" style="54"/>
    <col min="15106" max="15106" width="9.7109375" style="54" customWidth="1"/>
    <col min="15107" max="15107" width="15.85546875" style="54" customWidth="1"/>
    <col min="15108" max="15108" width="16" style="54" customWidth="1"/>
    <col min="15109" max="15109" width="11.28515625" style="54" customWidth="1"/>
    <col min="15110" max="15110" width="12.5703125" style="54" customWidth="1"/>
    <col min="15111" max="15111" width="9.5703125" style="54" customWidth="1"/>
    <col min="15112" max="15112" width="9.140625" style="54"/>
    <col min="15113" max="15113" width="6.42578125" style="54" bestFit="1" customWidth="1"/>
    <col min="15114" max="15114" width="11" style="54" bestFit="1" customWidth="1"/>
    <col min="15115" max="15361" width="9.140625" style="54"/>
    <col min="15362" max="15362" width="9.7109375" style="54" customWidth="1"/>
    <col min="15363" max="15363" width="15.85546875" style="54" customWidth="1"/>
    <col min="15364" max="15364" width="16" style="54" customWidth="1"/>
    <col min="15365" max="15365" width="11.28515625" style="54" customWidth="1"/>
    <col min="15366" max="15366" width="12.5703125" style="54" customWidth="1"/>
    <col min="15367" max="15367" width="9.5703125" style="54" customWidth="1"/>
    <col min="15368" max="15368" width="9.140625" style="54"/>
    <col min="15369" max="15369" width="6.42578125" style="54" bestFit="1" customWidth="1"/>
    <col min="15370" max="15370" width="11" style="54" bestFit="1" customWidth="1"/>
    <col min="15371" max="15617" width="9.140625" style="54"/>
    <col min="15618" max="15618" width="9.7109375" style="54" customWidth="1"/>
    <col min="15619" max="15619" width="15.85546875" style="54" customWidth="1"/>
    <col min="15620" max="15620" width="16" style="54" customWidth="1"/>
    <col min="15621" max="15621" width="11.28515625" style="54" customWidth="1"/>
    <col min="15622" max="15622" width="12.5703125" style="54" customWidth="1"/>
    <col min="15623" max="15623" width="9.5703125" style="54" customWidth="1"/>
    <col min="15624" max="15624" width="9.140625" style="54"/>
    <col min="15625" max="15625" width="6.42578125" style="54" bestFit="1" customWidth="1"/>
    <col min="15626" max="15626" width="11" style="54" bestFit="1" customWidth="1"/>
    <col min="15627" max="15873" width="9.140625" style="54"/>
    <col min="15874" max="15874" width="9.7109375" style="54" customWidth="1"/>
    <col min="15875" max="15875" width="15.85546875" style="54" customWidth="1"/>
    <col min="15876" max="15876" width="16" style="54" customWidth="1"/>
    <col min="15877" max="15877" width="11.28515625" style="54" customWidth="1"/>
    <col min="15878" max="15878" width="12.5703125" style="54" customWidth="1"/>
    <col min="15879" max="15879" width="9.5703125" style="54" customWidth="1"/>
    <col min="15880" max="15880" width="9.140625" style="54"/>
    <col min="15881" max="15881" width="6.42578125" style="54" bestFit="1" customWidth="1"/>
    <col min="15882" max="15882" width="11" style="54" bestFit="1" customWidth="1"/>
    <col min="15883" max="16129" width="9.140625" style="54"/>
    <col min="16130" max="16130" width="9.7109375" style="54" customWidth="1"/>
    <col min="16131" max="16131" width="15.85546875" style="54" customWidth="1"/>
    <col min="16132" max="16132" width="16" style="54" customWidth="1"/>
    <col min="16133" max="16133" width="11.28515625" style="54" customWidth="1"/>
    <col min="16134" max="16134" width="12.5703125" style="54" customWidth="1"/>
    <col min="16135" max="16135" width="9.5703125" style="54" customWidth="1"/>
    <col min="16136" max="16136" width="9.140625" style="54"/>
    <col min="16137" max="16137" width="6.42578125" style="54" bestFit="1" customWidth="1"/>
    <col min="16138" max="16138" width="11" style="54" bestFit="1" customWidth="1"/>
    <col min="16139" max="16384" width="9.140625" style="54"/>
  </cols>
  <sheetData>
    <row r="1" spans="1:13" x14ac:dyDescent="0.25">
      <c r="B1" s="70"/>
      <c r="C1" s="70"/>
      <c r="D1" s="70"/>
      <c r="E1" s="70"/>
      <c r="F1" s="70"/>
      <c r="G1" s="70"/>
      <c r="H1" s="53"/>
      <c r="I1" s="53"/>
      <c r="J1" s="53"/>
      <c r="K1" s="53"/>
      <c r="L1" s="53"/>
      <c r="M1" s="53"/>
    </row>
    <row r="2" spans="1:13" x14ac:dyDescent="0.25">
      <c r="B2" s="52"/>
      <c r="C2" s="52" t="s">
        <v>274</v>
      </c>
      <c r="D2" s="53"/>
      <c r="E2" s="52"/>
      <c r="F2" s="52"/>
      <c r="G2" s="52"/>
      <c r="H2" s="53"/>
      <c r="I2" s="53"/>
      <c r="J2" s="53"/>
      <c r="K2" s="53"/>
      <c r="L2" s="53"/>
      <c r="M2" s="53"/>
    </row>
    <row r="3" spans="1:13" ht="27.75" customHeight="1" x14ac:dyDescent="0.25">
      <c r="C3" s="55" t="s">
        <v>275</v>
      </c>
      <c r="D3" s="53"/>
      <c r="E3" s="52"/>
      <c r="F3" s="52"/>
      <c r="G3" s="52"/>
      <c r="H3" s="53"/>
      <c r="I3" s="53"/>
      <c r="J3" s="53"/>
      <c r="K3" s="53"/>
      <c r="L3" s="53"/>
      <c r="M3" s="53"/>
    </row>
    <row r="4" spans="1:13" ht="19.5" customHeight="1" x14ac:dyDescent="0.25">
      <c r="B4" s="18"/>
      <c r="C4" s="18"/>
      <c r="D4" s="18"/>
      <c r="E4" s="18"/>
      <c r="F4" s="30"/>
      <c r="H4" s="53"/>
      <c r="I4" s="53"/>
      <c r="J4" s="53"/>
      <c r="K4" s="53"/>
      <c r="L4" s="53"/>
      <c r="M4" s="53"/>
    </row>
    <row r="5" spans="1:13" ht="17.25" thickBot="1" x14ac:dyDescent="0.35">
      <c r="B5" s="18"/>
      <c r="C5" s="68"/>
      <c r="D5" s="68"/>
      <c r="E5" s="68"/>
      <c r="F5" s="68"/>
      <c r="G5" s="68"/>
      <c r="H5" s="68"/>
      <c r="I5" s="53"/>
      <c r="J5" s="53"/>
      <c r="K5" s="53"/>
      <c r="L5" s="53"/>
      <c r="M5" s="53"/>
    </row>
    <row r="6" spans="1:13" ht="18" thickTop="1" x14ac:dyDescent="0.3">
      <c r="B6" s="18"/>
      <c r="C6" s="56" t="s">
        <v>276</v>
      </c>
      <c r="D6" s="56" t="s">
        <v>277</v>
      </c>
      <c r="E6" s="7"/>
      <c r="F6" s="7"/>
      <c r="G6" s="7"/>
      <c r="H6" s="7"/>
      <c r="I6" s="53"/>
      <c r="J6" s="53"/>
      <c r="K6" s="53"/>
      <c r="L6" s="53"/>
      <c r="M6" s="53"/>
    </row>
    <row r="7" spans="1:13" ht="19.5" x14ac:dyDescent="0.4">
      <c r="B7" s="18"/>
      <c r="C7" s="57" t="s">
        <v>278</v>
      </c>
      <c r="D7" s="58">
        <v>2.024</v>
      </c>
      <c r="E7" s="7"/>
      <c r="F7" s="7"/>
      <c r="G7" s="7"/>
      <c r="H7" s="7"/>
      <c r="I7" s="53"/>
      <c r="J7" s="53"/>
      <c r="K7" s="53"/>
      <c r="L7" s="53"/>
      <c r="M7" s="53"/>
    </row>
    <row r="8" spans="1:13" ht="19.5" x14ac:dyDescent="0.4">
      <c r="B8" s="18"/>
      <c r="C8" s="57" t="s">
        <v>279</v>
      </c>
      <c r="D8" s="58">
        <v>14.372999999999999</v>
      </c>
      <c r="E8" s="7"/>
      <c r="F8" s="7"/>
      <c r="G8" s="7"/>
      <c r="H8" s="7"/>
      <c r="I8" s="53"/>
      <c r="J8" s="53"/>
      <c r="K8" s="53"/>
      <c r="L8" s="53"/>
      <c r="M8" s="53"/>
    </row>
    <row r="9" spans="1:13" ht="19.5" x14ac:dyDescent="0.4">
      <c r="B9" s="18"/>
      <c r="C9" s="57"/>
      <c r="D9" s="58"/>
      <c r="E9" s="7"/>
      <c r="F9" s="7"/>
      <c r="G9" s="7"/>
      <c r="H9" s="7"/>
      <c r="I9" s="53"/>
      <c r="J9" s="53"/>
      <c r="K9" s="53"/>
      <c r="L9" s="53"/>
      <c r="M9" s="53"/>
    </row>
    <row r="10" spans="1:13" ht="19.5" x14ac:dyDescent="0.4">
      <c r="B10" s="18"/>
      <c r="C10" s="57"/>
      <c r="D10" s="58"/>
      <c r="E10" s="7"/>
      <c r="F10" s="7"/>
      <c r="G10" s="7"/>
      <c r="H10" s="7"/>
      <c r="I10" s="53"/>
      <c r="J10" s="53"/>
      <c r="K10" s="53"/>
      <c r="L10" s="53"/>
      <c r="M10" s="53"/>
    </row>
    <row r="11" spans="1:13" ht="19.5" x14ac:dyDescent="0.4">
      <c r="B11" s="52"/>
      <c r="C11" s="57"/>
      <c r="D11" s="58"/>
      <c r="E11" s="7"/>
      <c r="F11" s="7"/>
      <c r="G11" s="7"/>
      <c r="H11" s="7"/>
      <c r="I11" s="53"/>
      <c r="J11" s="53"/>
      <c r="K11" s="53"/>
      <c r="L11" s="53"/>
      <c r="M11" s="53"/>
    </row>
    <row r="12" spans="1:13" x14ac:dyDescent="0.25">
      <c r="B12" s="52"/>
      <c r="C12" s="18"/>
      <c r="D12" s="18"/>
      <c r="E12" s="7"/>
      <c r="F12" s="7"/>
      <c r="G12" s="7"/>
      <c r="H12" s="7"/>
      <c r="I12" s="53"/>
      <c r="J12" s="53"/>
      <c r="K12" s="53"/>
      <c r="L12" s="53"/>
      <c r="M12" s="53"/>
    </row>
    <row r="13" spans="1:13" x14ac:dyDescent="0.25">
      <c r="A13" s="54"/>
      <c r="D13" s="30" t="s">
        <v>280</v>
      </c>
      <c r="F13" s="30"/>
      <c r="H13" s="53"/>
      <c r="I13" s="53"/>
      <c r="J13" s="53"/>
      <c r="K13" s="53"/>
      <c r="L13" s="53"/>
      <c r="M13" s="53"/>
    </row>
    <row r="14" spans="1:13" x14ac:dyDescent="0.25">
      <c r="A14" s="54"/>
      <c r="D14" s="30" t="s">
        <v>281</v>
      </c>
      <c r="H14" s="53"/>
      <c r="I14" s="53"/>
      <c r="J14" s="53"/>
      <c r="K14" s="53"/>
      <c r="L14" s="53"/>
      <c r="M14" s="53"/>
    </row>
    <row r="15" spans="1:13" x14ac:dyDescent="0.25">
      <c r="A15" s="54"/>
      <c r="C15" s="60"/>
      <c r="D15" s="30" t="s">
        <v>282</v>
      </c>
      <c r="F15" s="61"/>
      <c r="G15" s="59"/>
      <c r="H15" s="53"/>
      <c r="I15" s="53"/>
      <c r="J15" s="53"/>
      <c r="K15" s="53"/>
      <c r="L15" s="53"/>
      <c r="M15" s="53"/>
    </row>
    <row r="16" spans="1:13" x14ac:dyDescent="0.25">
      <c r="A16" s="54"/>
      <c r="B16" s="18"/>
      <c r="C16" s="18"/>
      <c r="D16" s="18"/>
      <c r="F16" s="61"/>
      <c r="G16" s="62"/>
      <c r="I16" s="53"/>
      <c r="J16" s="53"/>
      <c r="K16" s="53"/>
      <c r="L16" s="53"/>
      <c r="M16" s="53"/>
    </row>
    <row r="17" spans="1:7" x14ac:dyDescent="0.25">
      <c r="A17" s="54"/>
      <c r="B17" s="18"/>
      <c r="C17" s="18"/>
      <c r="F17" s="63"/>
    </row>
    <row r="18" spans="1:7" x14ac:dyDescent="0.25">
      <c r="B18" s="18"/>
      <c r="C18" s="18"/>
    </row>
    <row r="19" spans="1:7" x14ac:dyDescent="0.25">
      <c r="B19" s="18"/>
      <c r="C19" s="18"/>
    </row>
    <row r="20" spans="1:7" x14ac:dyDescent="0.25">
      <c r="B20" s="18"/>
      <c r="C20" s="18"/>
    </row>
    <row r="21" spans="1:7" x14ac:dyDescent="0.25">
      <c r="B21" s="18"/>
      <c r="C21" s="27"/>
    </row>
    <row r="22" spans="1:7" x14ac:dyDescent="0.25">
      <c r="B22" s="18"/>
      <c r="C22" s="18"/>
    </row>
    <row r="23" spans="1:7" x14ac:dyDescent="0.25">
      <c r="B23" s="64"/>
      <c r="C23" s="64"/>
    </row>
    <row r="24" spans="1:7" x14ac:dyDescent="0.25">
      <c r="B24" s="64"/>
      <c r="C24" s="64"/>
      <c r="D24" s="64"/>
      <c r="E24" s="61"/>
      <c r="F24" s="30"/>
    </row>
    <row r="25" spans="1:7" x14ac:dyDescent="0.25">
      <c r="C25" s="60"/>
      <c r="D25" s="18"/>
      <c r="E25" s="51"/>
    </row>
    <row r="26" spans="1:7" x14ac:dyDescent="0.25">
      <c r="B26" s="18"/>
      <c r="C26" s="18"/>
      <c r="E26" s="65"/>
    </row>
    <row r="27" spans="1:7" x14ac:dyDescent="0.25">
      <c r="A27" s="54"/>
      <c r="B27" s="18"/>
      <c r="C27" s="18"/>
      <c r="D27" s="30"/>
      <c r="E27" s="59"/>
    </row>
    <row r="28" spans="1:7" ht="15" customHeight="1" x14ac:dyDescent="0.25">
      <c r="A28" s="54"/>
      <c r="B28" s="18"/>
      <c r="C28" s="18"/>
      <c r="D28" s="30"/>
      <c r="E28" s="59"/>
    </row>
    <row r="29" spans="1:7" x14ac:dyDescent="0.25">
      <c r="A29" s="54"/>
      <c r="B29" s="18"/>
      <c r="C29" s="18"/>
      <c r="D29" s="30"/>
      <c r="E29" s="59"/>
      <c r="F29" s="61"/>
      <c r="G29" s="59"/>
    </row>
    <row r="30" spans="1:7" x14ac:dyDescent="0.25">
      <c r="A30" s="54"/>
      <c r="B30" s="18"/>
      <c r="C30" s="27"/>
    </row>
    <row r="31" spans="1:7" x14ac:dyDescent="0.25">
      <c r="A31" s="54"/>
      <c r="B31" s="18"/>
      <c r="C31" s="18"/>
    </row>
    <row r="32" spans="1:7" x14ac:dyDescent="0.25">
      <c r="A32" s="54"/>
      <c r="B32" s="18"/>
      <c r="C32" s="18"/>
    </row>
    <row r="33" spans="1:6" x14ac:dyDescent="0.25">
      <c r="A33" s="54"/>
      <c r="E33" s="61"/>
      <c r="F33" s="30"/>
    </row>
    <row r="34" spans="1:6" x14ac:dyDescent="0.25">
      <c r="A34" s="54"/>
    </row>
    <row r="35" spans="1:6" x14ac:dyDescent="0.25">
      <c r="A35" s="54"/>
      <c r="C35" s="60"/>
      <c r="D35" s="18"/>
    </row>
    <row r="36" spans="1:6" x14ac:dyDescent="0.25">
      <c r="A36" s="54"/>
      <c r="B36" s="18"/>
      <c r="C36" s="18"/>
    </row>
    <row r="37" spans="1:6" x14ac:dyDescent="0.25">
      <c r="A37" s="54"/>
      <c r="B37" s="18"/>
      <c r="C37" s="18"/>
    </row>
    <row r="38" spans="1:6" x14ac:dyDescent="0.25">
      <c r="A38" s="54"/>
      <c r="B38" s="18"/>
      <c r="C38" s="18"/>
    </row>
    <row r="39" spans="1:6" x14ac:dyDescent="0.25">
      <c r="A39" s="54"/>
      <c r="B39" s="18"/>
      <c r="C39" s="18"/>
    </row>
    <row r="40" spans="1:6" x14ac:dyDescent="0.25">
      <c r="A40" s="54"/>
      <c r="B40" s="18"/>
      <c r="C40" s="18"/>
    </row>
    <row r="41" spans="1:6" x14ac:dyDescent="0.25">
      <c r="A41" s="54"/>
      <c r="B41" s="18"/>
      <c r="C41" s="18"/>
    </row>
    <row r="42" spans="1:6" x14ac:dyDescent="0.25">
      <c r="A42" s="54"/>
      <c r="B42" s="18"/>
      <c r="C42" s="18"/>
    </row>
    <row r="43" spans="1:6" x14ac:dyDescent="0.25">
      <c r="A43" s="54"/>
      <c r="E43" s="61"/>
      <c r="F43" s="30"/>
    </row>
    <row r="44" spans="1:6" x14ac:dyDescent="0.25">
      <c r="A44" s="54"/>
      <c r="C44" s="60"/>
      <c r="D44" s="18"/>
    </row>
    <row r="45" spans="1:6" x14ac:dyDescent="0.25">
      <c r="A45" s="54"/>
      <c r="B45" s="18"/>
      <c r="C45" s="18"/>
    </row>
    <row r="46" spans="1:6" x14ac:dyDescent="0.25">
      <c r="A46" s="54"/>
      <c r="B46" s="18"/>
      <c r="C46" s="18"/>
    </row>
    <row r="47" spans="1:6" x14ac:dyDescent="0.25">
      <c r="A47" s="54"/>
      <c r="B47" s="18"/>
      <c r="C47" s="27"/>
    </row>
    <row r="48" spans="1:6" x14ac:dyDescent="0.25">
      <c r="A48" s="54"/>
      <c r="B48" s="18"/>
      <c r="C48" s="18"/>
    </row>
    <row r="49" spans="1:6" x14ac:dyDescent="0.25">
      <c r="A49" s="54"/>
      <c r="B49" s="18"/>
      <c r="C49" s="18"/>
    </row>
    <row r="50" spans="1:6" x14ac:dyDescent="0.25">
      <c r="A50" s="54"/>
      <c r="B50" s="18"/>
      <c r="C50" s="18"/>
      <c r="D50" s="64"/>
    </row>
    <row r="51" spans="1:6" x14ac:dyDescent="0.25">
      <c r="A51" s="54"/>
    </row>
    <row r="52" spans="1:6" x14ac:dyDescent="0.25">
      <c r="A52" s="54"/>
      <c r="E52" s="61"/>
      <c r="F52" s="30"/>
    </row>
    <row r="53" spans="1:6" x14ac:dyDescent="0.25">
      <c r="A53" s="54"/>
    </row>
    <row r="54" spans="1:6" x14ac:dyDescent="0.25">
      <c r="A54" s="54"/>
      <c r="D54" s="59"/>
      <c r="E54" s="59"/>
    </row>
    <row r="55" spans="1:6" x14ac:dyDescent="0.25">
      <c r="A55" s="54"/>
    </row>
    <row r="56" spans="1:6" x14ac:dyDescent="0.25">
      <c r="A56" s="54"/>
    </row>
    <row r="57" spans="1:6" x14ac:dyDescent="0.25">
      <c r="A57" s="54"/>
    </row>
    <row r="58" spans="1:6" ht="22.5" customHeight="1" x14ac:dyDescent="0.25">
      <c r="A58" s="54"/>
    </row>
    <row r="59" spans="1:6" ht="24" customHeight="1" x14ac:dyDescent="0.25">
      <c r="A59" s="54"/>
    </row>
    <row r="60" spans="1:6" x14ac:dyDescent="0.25">
      <c r="A60" s="54"/>
    </row>
    <row r="61" spans="1:6" x14ac:dyDescent="0.25">
      <c r="A61" s="54"/>
    </row>
    <row r="62" spans="1:6" x14ac:dyDescent="0.25">
      <c r="A62" s="54"/>
    </row>
    <row r="63" spans="1:6" x14ac:dyDescent="0.25">
      <c r="A63" s="54"/>
    </row>
    <row r="64" spans="1:6" x14ac:dyDescent="0.25">
      <c r="A64" s="54"/>
    </row>
    <row r="65" spans="1:1" x14ac:dyDescent="0.25">
      <c r="A65" s="54"/>
    </row>
    <row r="66" spans="1:1" x14ac:dyDescent="0.25">
      <c r="A66" s="54"/>
    </row>
    <row r="67" spans="1:1" x14ac:dyDescent="0.25">
      <c r="A67" s="54"/>
    </row>
    <row r="68" spans="1:1" x14ac:dyDescent="0.25">
      <c r="A68" s="54"/>
    </row>
    <row r="69" spans="1:1" x14ac:dyDescent="0.25">
      <c r="A69" s="54"/>
    </row>
    <row r="70" spans="1:1" x14ac:dyDescent="0.25">
      <c r="A70" s="54"/>
    </row>
    <row r="71" spans="1:1" x14ac:dyDescent="0.25">
      <c r="A71" s="54"/>
    </row>
    <row r="72" spans="1:1" x14ac:dyDescent="0.25">
      <c r="A72" s="54"/>
    </row>
    <row r="73" spans="1:1" x14ac:dyDescent="0.25">
      <c r="A73" s="54"/>
    </row>
    <row r="74" spans="1:1" x14ac:dyDescent="0.25">
      <c r="A74" s="54"/>
    </row>
    <row r="75" spans="1:1" x14ac:dyDescent="0.25">
      <c r="A75" s="54"/>
    </row>
    <row r="76" spans="1:1" x14ac:dyDescent="0.25">
      <c r="A76" s="54"/>
    </row>
    <row r="77" spans="1:1" x14ac:dyDescent="0.25">
      <c r="A77" s="54"/>
    </row>
    <row r="78" spans="1:1" x14ac:dyDescent="0.25">
      <c r="A78" s="54"/>
    </row>
    <row r="79" spans="1:1" x14ac:dyDescent="0.25">
      <c r="A79" s="54"/>
    </row>
    <row r="80" spans="1:1" x14ac:dyDescent="0.25">
      <c r="A80" s="54"/>
    </row>
    <row r="81" spans="1:1" x14ac:dyDescent="0.25">
      <c r="A81" s="54"/>
    </row>
    <row r="82" spans="1:1" x14ac:dyDescent="0.25">
      <c r="A82" s="54"/>
    </row>
    <row r="83" spans="1:1" x14ac:dyDescent="0.25">
      <c r="A83" s="54"/>
    </row>
    <row r="84" spans="1:1" x14ac:dyDescent="0.25">
      <c r="A84" s="54"/>
    </row>
    <row r="85" spans="1:1" x14ac:dyDescent="0.25">
      <c r="A85" s="54"/>
    </row>
    <row r="86" spans="1:1" x14ac:dyDescent="0.25">
      <c r="A86" s="54"/>
    </row>
    <row r="87" spans="1:1" x14ac:dyDescent="0.25">
      <c r="A87" s="54"/>
    </row>
    <row r="88" spans="1:1" x14ac:dyDescent="0.25">
      <c r="A88" s="54"/>
    </row>
    <row r="89" spans="1:1" x14ac:dyDescent="0.25">
      <c r="A89" s="54"/>
    </row>
    <row r="90" spans="1:1" x14ac:dyDescent="0.25">
      <c r="A90" s="54"/>
    </row>
    <row r="91" spans="1:1" x14ac:dyDescent="0.25">
      <c r="A91" s="54"/>
    </row>
    <row r="92" spans="1:1" x14ac:dyDescent="0.25">
      <c r="A92" s="54"/>
    </row>
    <row r="93" spans="1:1" x14ac:dyDescent="0.25">
      <c r="A93" s="54"/>
    </row>
    <row r="94" spans="1:1" x14ac:dyDescent="0.25">
      <c r="A94" s="54"/>
    </row>
    <row r="95" spans="1:1" x14ac:dyDescent="0.25">
      <c r="A95" s="54"/>
    </row>
    <row r="96" spans="1:1" x14ac:dyDescent="0.25">
      <c r="A96" s="54"/>
    </row>
    <row r="97" spans="1:1" x14ac:dyDescent="0.25">
      <c r="A97" s="54"/>
    </row>
    <row r="98" spans="1:1" x14ac:dyDescent="0.25">
      <c r="A98" s="54"/>
    </row>
    <row r="99" spans="1:1" x14ac:dyDescent="0.25">
      <c r="A99" s="54"/>
    </row>
    <row r="100" spans="1:1" x14ac:dyDescent="0.25">
      <c r="A100" s="54"/>
    </row>
    <row r="101" spans="1:1" x14ac:dyDescent="0.25">
      <c r="A101" s="54"/>
    </row>
    <row r="102" spans="1:1" x14ac:dyDescent="0.25">
      <c r="A102" s="54"/>
    </row>
    <row r="103" spans="1:1" x14ac:dyDescent="0.25">
      <c r="A103" s="54"/>
    </row>
    <row r="104" spans="1:1" x14ac:dyDescent="0.25">
      <c r="A104" s="54"/>
    </row>
    <row r="105" spans="1:1" x14ac:dyDescent="0.25">
      <c r="A105" s="54"/>
    </row>
    <row r="106" spans="1:1" x14ac:dyDescent="0.25">
      <c r="A106" s="54"/>
    </row>
    <row r="107" spans="1:1" x14ac:dyDescent="0.25">
      <c r="A107" s="54"/>
    </row>
    <row r="108" spans="1:1" x14ac:dyDescent="0.25">
      <c r="A108" s="54"/>
    </row>
    <row r="109" spans="1:1" x14ac:dyDescent="0.25">
      <c r="A109" s="54"/>
    </row>
    <row r="110" spans="1:1" x14ac:dyDescent="0.25">
      <c r="A110" s="54"/>
    </row>
    <row r="111" spans="1:1" x14ac:dyDescent="0.25">
      <c r="A111" s="54"/>
    </row>
    <row r="112" spans="1:1" x14ac:dyDescent="0.25">
      <c r="A112" s="54"/>
    </row>
    <row r="113" spans="1:1" x14ac:dyDescent="0.25">
      <c r="A113" s="54"/>
    </row>
    <row r="114" spans="1:1" x14ac:dyDescent="0.25">
      <c r="A114" s="54"/>
    </row>
    <row r="115" spans="1:1" x14ac:dyDescent="0.25">
      <c r="A115" s="54"/>
    </row>
    <row r="116" spans="1:1" x14ac:dyDescent="0.25">
      <c r="A116" s="54"/>
    </row>
    <row r="117" spans="1:1" x14ac:dyDescent="0.25">
      <c r="A117" s="54"/>
    </row>
    <row r="118" spans="1:1" x14ac:dyDescent="0.25">
      <c r="A118" s="54"/>
    </row>
    <row r="119" spans="1:1" x14ac:dyDescent="0.25">
      <c r="A119" s="54"/>
    </row>
    <row r="120" spans="1:1" x14ac:dyDescent="0.25">
      <c r="A120" s="54"/>
    </row>
    <row r="121" spans="1:1" x14ac:dyDescent="0.25">
      <c r="A121" s="54"/>
    </row>
    <row r="122" spans="1:1" x14ac:dyDescent="0.25">
      <c r="A122" s="54"/>
    </row>
    <row r="123" spans="1:1" x14ac:dyDescent="0.25">
      <c r="A123" s="54"/>
    </row>
    <row r="124" spans="1:1" x14ac:dyDescent="0.25">
      <c r="A124" s="54"/>
    </row>
    <row r="125" spans="1:1" x14ac:dyDescent="0.25">
      <c r="A125" s="54"/>
    </row>
    <row r="126" spans="1:1" x14ac:dyDescent="0.25">
      <c r="A126" s="54"/>
    </row>
    <row r="127" spans="1:1" x14ac:dyDescent="0.25">
      <c r="A127" s="54"/>
    </row>
    <row r="128" spans="1:1" x14ac:dyDescent="0.25">
      <c r="A128" s="54"/>
    </row>
    <row r="129" spans="1:1" x14ac:dyDescent="0.25">
      <c r="A129" s="54"/>
    </row>
    <row r="130" spans="1:1" x14ac:dyDescent="0.25">
      <c r="A130" s="54"/>
    </row>
    <row r="131" spans="1:1" x14ac:dyDescent="0.25">
      <c r="A131" s="54"/>
    </row>
    <row r="132" spans="1:1" x14ac:dyDescent="0.25">
      <c r="A132" s="54"/>
    </row>
    <row r="133" spans="1:1" x14ac:dyDescent="0.25">
      <c r="A133" s="54"/>
    </row>
    <row r="134" spans="1:1" x14ac:dyDescent="0.25">
      <c r="A134" s="54"/>
    </row>
    <row r="135" spans="1:1" x14ac:dyDescent="0.25">
      <c r="A135" s="54"/>
    </row>
    <row r="136" spans="1:1" x14ac:dyDescent="0.25">
      <c r="A136" s="54"/>
    </row>
    <row r="137" spans="1:1" x14ac:dyDescent="0.25">
      <c r="A137" s="54"/>
    </row>
    <row r="138" spans="1:1" x14ac:dyDescent="0.25">
      <c r="A138" s="54"/>
    </row>
    <row r="139" spans="1:1" x14ac:dyDescent="0.25">
      <c r="A139" s="54"/>
    </row>
    <row r="140" spans="1:1" x14ac:dyDescent="0.25">
      <c r="A140" s="54"/>
    </row>
    <row r="141" spans="1:1" x14ac:dyDescent="0.25">
      <c r="A141" s="54"/>
    </row>
    <row r="142" spans="1:1" x14ac:dyDescent="0.25">
      <c r="A142" s="54"/>
    </row>
    <row r="143" spans="1:1" x14ac:dyDescent="0.25">
      <c r="A143" s="54"/>
    </row>
    <row r="144" spans="1:1" x14ac:dyDescent="0.25">
      <c r="A144" s="54"/>
    </row>
    <row r="145" spans="1:1" x14ac:dyDescent="0.25">
      <c r="A145" s="54"/>
    </row>
    <row r="146" spans="1:1" x14ac:dyDescent="0.25">
      <c r="A146" s="54"/>
    </row>
    <row r="147" spans="1:1" x14ac:dyDescent="0.25">
      <c r="A147" s="54"/>
    </row>
    <row r="148" spans="1:1" x14ac:dyDescent="0.25">
      <c r="A148" s="54"/>
    </row>
    <row r="149" spans="1:1" x14ac:dyDescent="0.25">
      <c r="A149" s="54"/>
    </row>
    <row r="150" spans="1:1" x14ac:dyDescent="0.25">
      <c r="A150" s="54"/>
    </row>
    <row r="151" spans="1:1" x14ac:dyDescent="0.25">
      <c r="A151" s="54"/>
    </row>
    <row r="152" spans="1:1" x14ac:dyDescent="0.25">
      <c r="A152" s="54"/>
    </row>
    <row r="153" spans="1:1" x14ac:dyDescent="0.25">
      <c r="A153" s="54"/>
    </row>
    <row r="154" spans="1:1" x14ac:dyDescent="0.25">
      <c r="A154" s="54"/>
    </row>
    <row r="155" spans="1:1" x14ac:dyDescent="0.25">
      <c r="A155" s="54"/>
    </row>
    <row r="156" spans="1:1" x14ac:dyDescent="0.25">
      <c r="A156" s="54"/>
    </row>
    <row r="157" spans="1:1" x14ac:dyDescent="0.25">
      <c r="A157" s="54"/>
    </row>
    <row r="158" spans="1:1" x14ac:dyDescent="0.25">
      <c r="A158" s="54"/>
    </row>
  </sheetData>
  <mergeCells count="2">
    <mergeCell ref="B1:G1"/>
    <mergeCell ref="C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</vt:lpstr>
      <vt:lpstr>FINAL COORDNIATE LIST</vt:lpstr>
      <vt:lpstr>DATUM JOINS</vt:lpstr>
      <vt:lpstr>CONSISTENCY OF DATUM</vt:lpstr>
      <vt:lpstr>THEORETICALS</vt:lpstr>
      <vt:lpstr>RTK RESULT</vt:lpstr>
      <vt:lpstr>CONSISTENCY CHECKS</vt:lpstr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2025-10-27T07:22:10Z</cp:lastPrinted>
  <dcterms:created xsi:type="dcterms:W3CDTF">2025-10-01T13:01:36Z</dcterms:created>
  <dcterms:modified xsi:type="dcterms:W3CDTF">2025-10-29T08:35:33Z</dcterms:modified>
</cp:coreProperties>
</file>